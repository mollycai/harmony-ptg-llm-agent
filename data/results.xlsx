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300" windowHeight="11780" firstSheet="2" activeTab="4"/>
  </bookViews>
  <sheets>
    <sheet name="AI Agent Generate" sheetId="1" r:id="rId1"/>
    <sheet name="Static Analysis (reproduction)" sheetId="2" r:id="rId2"/>
    <sheet name="automatic testing" sheetId="3" r:id="rId3"/>
    <sheet name="LMT vs RT" sheetId="4" r:id="rId4"/>
    <sheet name="LMT vs SAMT" sheetId="5" r:id="rId5"/>
    <sheet name="LMT vs SAMT2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<sst xmlns="http://schemas.openxmlformats.org/spreadsheetml/2006/main" count="176" uniqueCount="51">
  <si>
    <t>HarmonyOS App</t>
  </si>
  <si>
    <t>#FIles</t>
  </si>
  <si>
    <t>LOC</t>
  </si>
  <si>
    <t>Star</t>
  </si>
  <si>
    <t>Fork</t>
  </si>
  <si>
    <t>#Pages</t>
  </si>
  <si>
    <t>HarmoneyOpenEye</t>
  </si>
  <si>
    <t>Harmony-arkts-movie-music-app-ui</t>
  </si>
  <si>
    <t>Codelabs/MultiShopping</t>
  </si>
  <si>
    <t>biandan-satge</t>
  </si>
  <si>
    <t>Msea_HarmonyOS</t>
  </si>
  <si>
    <t>Codelabs/MultiDeviceMusic</t>
  </si>
  <si>
    <t>oh-bill</t>
  </si>
  <si>
    <t>open_neteasy_cloud</t>
  </si>
  <si>
    <t>homework-tasklist-v2</t>
  </si>
  <si>
    <t>ArkTS-wphui1.0</t>
  </si>
  <si>
    <t>calls</t>
  </si>
  <si>
    <t>prompt</t>
  </si>
  <si>
    <t>completion</t>
  </si>
  <si>
    <t>total usage</t>
  </si>
  <si>
    <t>cost</t>
  </si>
  <si>
    <t>TP</t>
  </si>
  <si>
    <t>FP</t>
  </si>
  <si>
    <t>FN</t>
  </si>
  <si>
    <t>Prec.</t>
  </si>
  <si>
    <t>Recall</t>
  </si>
  <si>
    <t>F1</t>
  </si>
  <si>
    <t>HER</t>
  </si>
  <si>
    <t>FNR</t>
  </si>
  <si>
    <t>Times(s)</t>
  </si>
  <si>
    <t>LA Model-based Testing SC</t>
  </si>
  <si>
    <t>LA Model-based Testing PC</t>
  </si>
  <si>
    <t>LA Model-based Testing AN</t>
  </si>
  <si>
    <t>RandomTesting SC</t>
  </si>
  <si>
    <t>Random Testing PC</t>
  </si>
  <si>
    <t>Random Testing AN</t>
  </si>
  <si>
    <t>SA Model-based Testing SC</t>
  </si>
  <si>
    <t>SA Model-based Testing PC</t>
  </si>
  <si>
    <t>SA Model-based Testing AN</t>
  </si>
  <si>
    <t>当前方法与复现结果的对比</t>
  </si>
  <si>
    <t>当前方法与原论文结果的对比</t>
  </si>
  <si>
    <t>SA Model-based Testing SC*</t>
  </si>
  <si>
    <t>SA Model-based Testing PC*</t>
  </si>
  <si>
    <t>SA Model-based Testing AN*</t>
  </si>
  <si>
    <t>LLM PTG-based Testing SC</t>
  </si>
  <si>
    <t>LLM PTG-based Testing PC</t>
  </si>
  <si>
    <t>LLM PTG-based Testing AN</t>
  </si>
  <si>
    <t>Random Testing SC</t>
  </si>
  <si>
    <t>SA PTG-based Testing SC</t>
  </si>
  <si>
    <t>SA PTG-based Testing PC</t>
  </si>
  <si>
    <t>SA PTG-based Testing 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</si>
</sst>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&quot;￥&quot;#,##0.00_);[Red]\(&quot;￥&quot;#,##0.00\)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>
      <alignment vertical="center"/>
    </xf>
    <xf numFmtId="10" fontId="0" fillId="0" borderId="0" xfId="0" applyNumberFormat="1">
      <alignment vertical="center"/>
    </xf>
    <xf numFmtId="9" fontId="0" fillId="0" borderId="0" xfId="0" applyNumberFormat="1">
      <alignment vertical="center"/>
    </xf>
    <xf numFmtId="176" fontId="0" fillId="0" borderId="0" xfId="0" applyNumberFormat="1">
      <alignment vertical="center"/>
    </xf>
    <xf numFmtId="10" fontId="0" fillId="0" borderId="0" xfId="3" applyNumberFormat="1">
      <alignment vertical="center"/>
    </xf>
    <xf numFmtId="176" fontId="0" fillId="0" borderId="0" xfId="3" applyNumberFormat="1">
      <alignment vertical="center"/>
    </xf>
    <xf numFmtId="9" fontId="0" fillId="0" borderId="0" xfId="3">
      <alignment vertical="center"/>
    </xf>
    <xf numFmtId="0" fontId="0" fillId="0" borderId="0" xfId="0" applyNumberFormat="1" applyFont="1" applyFill="1" applyBorder="1" applyAlignment="1" applyProtection="1">
      <alignment vertical="center"/>
    </xf>
    <xf numFmtId="0" fontId="0" fillId="0" borderId="0" xfId="3" applyNumberFormat="1">
      <alignment vertical="center"/>
    </xf>
    <xf numFmtId="177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00"/>
  <sheetViews>
    <sheetView topLeftCell="A77" workbookViewId="0">
      <selection activeCell="I27" sqref="I27"/>
    </sheetView>
  </sheetViews>
  <sheetFormatPr defaultColWidth="9.23076923076923" defaultRowHeight="16.8"/>
  <cols>
    <col min="1" max="1" width="32.5288461538462" customWidth="1"/>
    <col min="2" max="2" width="9.61538461538461" customWidth="1"/>
    <col min="3" max="3" width="11.5384615384615" customWidth="1"/>
    <col min="4" max="4" width="13.6153846153846" customWidth="1"/>
    <col min="5" max="5" width="11.8557692307692" customWidth="1"/>
    <col min="6" max="6" width="13.1346153846154" customWidth="1"/>
    <col min="7" max="7" width="12.9230769230769"/>
    <col min="12" max="12" width="9.77884615384615" customWidth="1"/>
    <col min="13" max="14" width="9.13461538461539" customWidth="1"/>
    <col min="15" max="15" width="11.8557692307692" customWidth="1"/>
    <col min="16" max="16" width="11.0576923076923" customWidth="1"/>
    <col min="17" max="17" width="12.3365384615385" customWidth="1"/>
  </cols>
  <sheetData>
    <row r="1" s="1" customFormat="1"/>
    <row r="2" spans="1:16">
      <c r="J2" s="2"/>
      <c r="K2" s="2"/>
      <c r="L2" s="2"/>
    </row>
    <row r="3" spans="1:16">
      <c r="J3" s="2"/>
      <c r="K3" s="2"/>
      <c r="L3" s="2"/>
    </row>
    <row r="4" spans="1:16">
      <c r="J4" s="2"/>
      <c r="K4" s="2"/>
      <c r="L4" s="2"/>
    </row>
    <row r="5" spans="1:16">
      <c r="J5" s="2"/>
      <c r="K5" s="2"/>
      <c r="L5" s="2"/>
    </row>
    <row r="6" spans="1:16">
      <c r="J6" s="2"/>
      <c r="K6" s="2"/>
      <c r="L6" s="2"/>
    </row>
    <row r="7" spans="1:16">
      <c r="J7" s="2"/>
      <c r="K7" s="2"/>
      <c r="L7" s="2"/>
    </row>
    <row r="8" spans="1:16">
      <c r="J8" s="5"/>
      <c r="K8" s="2"/>
      <c r="L8" s="2"/>
    </row>
    <row r="9" spans="1:16">
      <c r="J9" s="5"/>
      <c r="K9" s="2"/>
      <c r="L9" s="2"/>
    </row>
    <row r="10" spans="1:16">
      <c r="J10" s="5"/>
      <c r="K10" s="2"/>
      <c r="L10" s="2"/>
    </row>
    <row r="11" spans="1:16">
      <c r="J11" s="5"/>
      <c r="K11" s="2"/>
      <c r="L11" s="2"/>
    </row>
    <row r="12" spans="1:16">
      <c r="J12" s="5"/>
    </row>
    <row r="15" spans="1:16">
      <c r="A15" s="1" t="s">
        <v>0</v>
      </c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16">
      <c r="A16" t="s">
        <v>6</v>
      </c>
      <c r="B16">
        <v>72</v>
      </c>
      <c r="C16">
        <v>4135</v>
      </c>
      <c r="D16">
        <v>616</v>
      </c>
      <c r="E16">
        <v>126</v>
      </c>
      <c r="F16">
        <v>10</v>
      </c>
      <c r="J16" s="2"/>
      <c r="K16" s="2"/>
      <c r="L16" s="2"/>
    </row>
    <row r="17" spans="1:24">
      <c r="A17" t="s">
        <v>7</v>
      </c>
      <c r="B17">
        <v>37</v>
      </c>
      <c r="C17">
        <v>4423</v>
      </c>
      <c r="D17">
        <v>80</v>
      </c>
      <c r="E17">
        <v>18</v>
      </c>
      <c r="F17">
        <v>9</v>
      </c>
      <c r="J17" s="2"/>
      <c r="K17" s="2"/>
      <c r="L17" s="2"/>
    </row>
    <row r="18" spans="1:24">
      <c r="A18" t="s">
        <v>8</v>
      </c>
      <c r="B18">
        <v>59</v>
      </c>
      <c r="C18">
        <v>6544</v>
      </c>
      <c r="D18">
        <v>1800</v>
      </c>
      <c r="E18">
        <v>853</v>
      </c>
      <c r="F18">
        <v>6</v>
      </c>
      <c r="J18" s="2"/>
      <c r="K18" s="2"/>
      <c r="L18" s="2"/>
    </row>
    <row r="19" spans="1:24">
      <c r="A19" t="s">
        <v>9</v>
      </c>
      <c r="B19">
        <v>65</v>
      </c>
      <c r="C19">
        <v>16999</v>
      </c>
      <c r="D19">
        <v>24</v>
      </c>
      <c r="E19">
        <v>8</v>
      </c>
      <c r="F19">
        <v>6</v>
      </c>
      <c r="J19" s="2"/>
      <c r="K19" s="2"/>
      <c r="L19" s="2"/>
    </row>
    <row r="20" spans="1:24">
      <c r="A20" t="s">
        <v>10</v>
      </c>
      <c r="B20">
        <v>20</v>
      </c>
      <c r="C20">
        <v>902</v>
      </c>
      <c r="D20">
        <v>50</v>
      </c>
      <c r="E20">
        <v>6</v>
      </c>
      <c r="F20">
        <v>6</v>
      </c>
      <c r="J20" s="2"/>
      <c r="K20" s="2"/>
      <c r="L20" s="2"/>
    </row>
    <row r="21" spans="1:24">
      <c r="A21" t="s">
        <v>11</v>
      </c>
      <c r="B21">
        <v>55</v>
      </c>
      <c r="C21">
        <v>4483</v>
      </c>
      <c r="D21">
        <v>1800</v>
      </c>
      <c r="E21">
        <v>853</v>
      </c>
      <c r="F21">
        <v>5</v>
      </c>
      <c r="J21" s="5"/>
      <c r="K21" s="2"/>
      <c r="L21" s="2"/>
    </row>
    <row r="22" spans="1:24">
      <c r="A22" t="s">
        <v>12</v>
      </c>
      <c r="B22">
        <v>21</v>
      </c>
      <c r="C22">
        <v>1652</v>
      </c>
      <c r="D22">
        <v>167</v>
      </c>
      <c r="E22">
        <v>46</v>
      </c>
      <c r="F22">
        <v>3</v>
      </c>
      <c r="J22" s="2"/>
      <c r="K22" s="2"/>
      <c r="L22" s="2"/>
    </row>
    <row r="23" spans="1:24">
      <c r="A23" t="s">
        <v>13</v>
      </c>
      <c r="B23">
        <v>13</v>
      </c>
      <c r="C23">
        <v>1018</v>
      </c>
      <c r="D23">
        <v>362</v>
      </c>
      <c r="E23">
        <v>74</v>
      </c>
      <c r="F23">
        <v>2</v>
      </c>
      <c r="J23" s="2"/>
      <c r="K23" s="2"/>
      <c r="L23" s="2"/>
    </row>
    <row r="24" spans="1:24">
      <c r="A24" t="s">
        <v>14</v>
      </c>
      <c r="B24">
        <v>26</v>
      </c>
      <c r="C24">
        <v>2383</v>
      </c>
      <c r="D24">
        <v>21</v>
      </c>
      <c r="E24">
        <v>13</v>
      </c>
      <c r="F24">
        <v>2</v>
      </c>
      <c r="J24" s="2"/>
      <c r="K24" s="2"/>
      <c r="L24" s="2"/>
    </row>
    <row r="25" spans="1:24">
      <c r="A25" t="s">
        <v>15</v>
      </c>
      <c r="B25">
        <v>24</v>
      </c>
      <c r="C25">
        <v>2280</v>
      </c>
      <c r="D25">
        <v>33</v>
      </c>
      <c r="E25">
        <v>15</v>
      </c>
      <c r="F25">
        <v>2</v>
      </c>
      <c r="J25" s="2"/>
      <c r="K25" s="2"/>
      <c r="L25" s="2"/>
    </row>
    <row r="27" spans="1:24">
      <c r="A27" s="1" t="s">
        <v>0</v>
      </c>
      <c r="B27" s="1" t="s">
        <v>16</v>
      </c>
      <c r="C27" s="1" t="s">
        <v>17</v>
      </c>
      <c r="D27" s="1" t="s">
        <v>18</v>
      </c>
      <c r="E27" s="1" t="s">
        <v>19</v>
      </c>
      <c r="F27" s="1" t="s">
        <v>20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1:24">
      <c r="A28" t="s">
        <v>6</v>
      </c>
      <c r="B28">
        <v>33</v>
      </c>
      <c r="C28">
        <v>65205</v>
      </c>
      <c r="D28">
        <v>3979</v>
      </c>
      <c r="E28">
        <f t="shared" ref="E28:E37" si="0">C28+D28</f>
        <v>69184</v>
      </c>
      <c r="F28" s="10">
        <f>C28*(2/1000000)+D28*(3/1000000)</f>
        <v>0.142347</v>
      </c>
      <c r="R28" s="2"/>
      <c r="S28" s="2"/>
      <c r="T28" s="2"/>
    </row>
    <row r="29" spans="1:24">
      <c r="A29" t="s">
        <v>7</v>
      </c>
      <c r="B29">
        <v>34</v>
      </c>
      <c r="C29">
        <v>75812</v>
      </c>
      <c r="D29">
        <v>4645</v>
      </c>
      <c r="E29">
        <f t="shared" si="0"/>
        <v>80457</v>
      </c>
      <c r="F29" s="10">
        <f t="shared" ref="F29:F37" si="1">C29*(2/1000000)+D29*(3/1000000)</f>
        <v>0.165559</v>
      </c>
      <c r="R29" s="2"/>
      <c r="S29" s="2"/>
      <c r="T29" s="2"/>
    </row>
    <row r="30" spans="1:24">
      <c r="A30" t="s">
        <v>8</v>
      </c>
      <c r="B30">
        <v>20</v>
      </c>
      <c r="C30">
        <v>63422</v>
      </c>
      <c r="D30">
        <v>3006</v>
      </c>
      <c r="E30">
        <f t="shared" si="0"/>
        <v>66428</v>
      </c>
      <c r="F30" s="10">
        <f t="shared" si="1"/>
        <v>0.135862</v>
      </c>
      <c r="R30" s="2"/>
      <c r="S30" s="2"/>
      <c r="T30" s="2"/>
    </row>
    <row r="31" spans="1:24">
      <c r="A31" t="s">
        <v>9</v>
      </c>
      <c r="B31">
        <v>13</v>
      </c>
      <c r="C31">
        <v>42969</v>
      </c>
      <c r="D31">
        <v>2566</v>
      </c>
      <c r="E31">
        <f t="shared" si="0"/>
        <v>45535</v>
      </c>
      <c r="F31" s="10">
        <f t="shared" si="1"/>
        <v>0.093636</v>
      </c>
      <c r="R31" s="2"/>
      <c r="S31" s="2"/>
      <c r="T31" s="2"/>
    </row>
    <row r="32" spans="1:24">
      <c r="A32" t="s">
        <v>10</v>
      </c>
      <c r="B32">
        <v>10</v>
      </c>
      <c r="C32">
        <v>15212</v>
      </c>
      <c r="D32">
        <v>1207</v>
      </c>
      <c r="E32">
        <f t="shared" si="0"/>
        <v>16419</v>
      </c>
      <c r="F32" s="10">
        <f t="shared" si="1"/>
        <v>0.034045</v>
      </c>
      <c r="R32" s="2"/>
      <c r="S32" s="2"/>
      <c r="T32" s="2"/>
    </row>
    <row r="33" spans="1:20">
      <c r="A33" t="s">
        <v>11</v>
      </c>
      <c r="B33">
        <v>16</v>
      </c>
      <c r="C33">
        <v>33269</v>
      </c>
      <c r="D33">
        <v>1673</v>
      </c>
      <c r="E33">
        <f t="shared" si="0"/>
        <v>34942</v>
      </c>
      <c r="F33" s="10">
        <f t="shared" si="1"/>
        <v>0.071557</v>
      </c>
      <c r="R33" s="5"/>
      <c r="S33" s="2"/>
      <c r="T33" s="2"/>
    </row>
    <row r="34" spans="1:20">
      <c r="A34" t="s">
        <v>12</v>
      </c>
      <c r="B34">
        <v>4</v>
      </c>
      <c r="C34">
        <v>9001</v>
      </c>
      <c r="D34">
        <v>739</v>
      </c>
      <c r="E34">
        <f t="shared" si="0"/>
        <v>9740</v>
      </c>
      <c r="F34" s="10">
        <f t="shared" si="1"/>
        <v>0.020219</v>
      </c>
      <c r="R34" s="2"/>
      <c r="S34" s="2"/>
      <c r="T34" s="2"/>
    </row>
    <row r="35" spans="1:20">
      <c r="A35" t="s">
        <v>13</v>
      </c>
      <c r="B35">
        <v>4</v>
      </c>
      <c r="C35">
        <v>5752</v>
      </c>
      <c r="D35">
        <v>322</v>
      </c>
      <c r="E35">
        <f t="shared" si="0"/>
        <v>6074</v>
      </c>
      <c r="F35" s="10">
        <f t="shared" si="1"/>
        <v>0.01247</v>
      </c>
      <c r="R35" s="2"/>
      <c r="S35" s="2"/>
      <c r="T35" s="2"/>
    </row>
    <row r="36" spans="1:20">
      <c r="A36" t="s">
        <v>14</v>
      </c>
      <c r="B36">
        <v>5</v>
      </c>
      <c r="C36">
        <v>10773</v>
      </c>
      <c r="D36">
        <v>728</v>
      </c>
      <c r="E36">
        <f t="shared" si="0"/>
        <v>11501</v>
      </c>
      <c r="F36" s="10">
        <f t="shared" si="1"/>
        <v>0.02373</v>
      </c>
      <c r="R36" s="2"/>
      <c r="S36" s="2"/>
      <c r="T36" s="2"/>
    </row>
    <row r="37" spans="1:20">
      <c r="A37" t="s">
        <v>15</v>
      </c>
      <c r="B37">
        <v>3</v>
      </c>
      <c r="C37">
        <v>6556</v>
      </c>
      <c r="D37">
        <v>270</v>
      </c>
      <c r="E37">
        <f t="shared" si="0"/>
        <v>6826</v>
      </c>
      <c r="F37" s="10">
        <f t="shared" si="1"/>
        <v>0.013922</v>
      </c>
      <c r="R37" s="2"/>
      <c r="S37" s="2"/>
      <c r="T37" s="2"/>
    </row>
    <row r="39" spans="1:20">
      <c r="A39" s="1" t="s">
        <v>0</v>
      </c>
      <c r="B39" s="1" t="s">
        <v>21</v>
      </c>
      <c r="C39" s="1" t="s">
        <v>22</v>
      </c>
      <c r="D39" s="1" t="s">
        <v>23</v>
      </c>
      <c r="E39" s="1" t="s">
        <v>24</v>
      </c>
      <c r="F39" s="1" t="s">
        <v>25</v>
      </c>
      <c r="G39" t="s">
        <v>26</v>
      </c>
      <c r="H39" s="1" t="s">
        <v>27</v>
      </c>
    </row>
    <row r="40" spans="1:20">
      <c r="A40" t="s">
        <v>6</v>
      </c>
      <c r="B40">
        <v>15</v>
      </c>
      <c r="C40">
        <v>0</v>
      </c>
      <c r="D40">
        <v>1</v>
      </c>
      <c r="E40" s="2">
        <f>B40/(B40+C40)</f>
        <v>1</v>
      </c>
      <c r="F40" s="2">
        <f t="shared" ref="F40:F49" si="2">B40/(B40+D40)</f>
        <v>0.9375</v>
      </c>
      <c r="G40" s="5">
        <f>2*E40*F40/(E40+F40)</f>
        <v>0.967741935483871</v>
      </c>
      <c r="H40" s="2">
        <v>0</v>
      </c>
    </row>
    <row r="41" spans="1:20">
      <c r="A41" t="s">
        <v>7</v>
      </c>
      <c r="B41">
        <v>13</v>
      </c>
      <c r="C41">
        <v>3</v>
      </c>
      <c r="D41">
        <v>0</v>
      </c>
      <c r="E41" s="2">
        <f t="shared" ref="E41:E49" si="3">B41/(B41+C41)</f>
        <v>0.8125</v>
      </c>
      <c r="F41" s="2">
        <f t="shared" si="2"/>
        <v>1</v>
      </c>
      <c r="G41" s="5">
        <f t="shared" ref="G41:G49" si="4">2*E41*F41/(E41+F41)</f>
        <v>0.896551724137931</v>
      </c>
      <c r="H41" s="2">
        <v>0.2</v>
      </c>
    </row>
    <row r="42" spans="1:20">
      <c r="A42" t="s">
        <v>8</v>
      </c>
      <c r="B42">
        <v>7</v>
      </c>
      <c r="C42">
        <v>3</v>
      </c>
      <c r="D42">
        <v>0</v>
      </c>
      <c r="E42" s="2">
        <f t="shared" si="3"/>
        <v>0.7</v>
      </c>
      <c r="F42" s="2">
        <f t="shared" si="2"/>
        <v>1</v>
      </c>
      <c r="G42" s="5">
        <f t="shared" si="4"/>
        <v>0.823529411764706</v>
      </c>
      <c r="H42" s="2">
        <v>0.3</v>
      </c>
    </row>
    <row r="43" spans="1:20">
      <c r="A43" t="s">
        <v>9</v>
      </c>
      <c r="B43">
        <v>8.6</v>
      </c>
      <c r="C43">
        <v>0</v>
      </c>
      <c r="D43">
        <v>1.4</v>
      </c>
      <c r="E43" s="2">
        <f t="shared" si="3"/>
        <v>1</v>
      </c>
      <c r="F43" s="2">
        <f t="shared" si="2"/>
        <v>0.86</v>
      </c>
      <c r="G43" s="5">
        <f t="shared" si="4"/>
        <v>0.924731182795699</v>
      </c>
      <c r="H43" s="2">
        <v>0</v>
      </c>
    </row>
    <row r="44" spans="1:20">
      <c r="A44" t="s">
        <v>10</v>
      </c>
      <c r="B44">
        <v>3</v>
      </c>
      <c r="C44">
        <v>0</v>
      </c>
      <c r="D44">
        <v>0</v>
      </c>
      <c r="E44" s="2">
        <f t="shared" si="3"/>
        <v>1</v>
      </c>
      <c r="F44" s="2">
        <f t="shared" si="2"/>
        <v>1</v>
      </c>
      <c r="G44" s="5">
        <f t="shared" si="4"/>
        <v>1</v>
      </c>
      <c r="H44" s="2">
        <v>0.6667</v>
      </c>
    </row>
    <row r="45" spans="1:20">
      <c r="A45" t="s">
        <v>11</v>
      </c>
      <c r="B45">
        <v>6</v>
      </c>
      <c r="C45">
        <v>0</v>
      </c>
      <c r="D45">
        <v>1</v>
      </c>
      <c r="E45" s="2">
        <f t="shared" si="3"/>
        <v>1</v>
      </c>
      <c r="F45" s="2">
        <f t="shared" si="2"/>
        <v>0.857142857142857</v>
      </c>
      <c r="G45" s="5">
        <f t="shared" si="4"/>
        <v>0.923076923076923</v>
      </c>
      <c r="H45" s="2">
        <v>0</v>
      </c>
    </row>
    <row r="46" spans="1:20">
      <c r="A46" t="s">
        <v>12</v>
      </c>
      <c r="B46">
        <v>3</v>
      </c>
      <c r="C46">
        <v>0</v>
      </c>
      <c r="D46">
        <v>0</v>
      </c>
      <c r="E46" s="2">
        <f t="shared" si="3"/>
        <v>1</v>
      </c>
      <c r="F46" s="2">
        <f t="shared" si="2"/>
        <v>1</v>
      </c>
      <c r="G46" s="5">
        <f t="shared" si="4"/>
        <v>1</v>
      </c>
      <c r="H46" s="2">
        <v>0</v>
      </c>
    </row>
    <row r="47" spans="1:20">
      <c r="A47" t="s">
        <v>13</v>
      </c>
      <c r="B47">
        <v>2</v>
      </c>
      <c r="C47">
        <v>0</v>
      </c>
      <c r="D47">
        <v>0</v>
      </c>
      <c r="E47" s="2">
        <f t="shared" si="3"/>
        <v>1</v>
      </c>
      <c r="F47" s="2">
        <f t="shared" si="2"/>
        <v>1</v>
      </c>
      <c r="G47" s="5">
        <f t="shared" si="4"/>
        <v>1</v>
      </c>
      <c r="H47" s="2">
        <v>0</v>
      </c>
    </row>
    <row r="48" spans="1:20">
      <c r="A48" t="s">
        <v>14</v>
      </c>
      <c r="B48">
        <v>3</v>
      </c>
      <c r="C48">
        <v>0</v>
      </c>
      <c r="D48">
        <v>0</v>
      </c>
      <c r="E48" s="2">
        <f t="shared" si="3"/>
        <v>1</v>
      </c>
      <c r="F48" s="2">
        <f t="shared" si="2"/>
        <v>1</v>
      </c>
      <c r="G48" s="5">
        <f t="shared" si="4"/>
        <v>1</v>
      </c>
      <c r="H48" s="2">
        <v>0</v>
      </c>
    </row>
    <row r="49" spans="1:12">
      <c r="A49" t="s">
        <v>15</v>
      </c>
      <c r="B49">
        <v>1</v>
      </c>
      <c r="C49">
        <v>0</v>
      </c>
      <c r="D49">
        <v>0</v>
      </c>
      <c r="E49" s="2">
        <f t="shared" si="3"/>
        <v>1</v>
      </c>
      <c r="F49" s="2">
        <f t="shared" si="2"/>
        <v>1</v>
      </c>
      <c r="G49" s="5">
        <f t="shared" si="4"/>
        <v>1</v>
      </c>
      <c r="H49" s="2">
        <v>0</v>
      </c>
    </row>
    <row r="50" spans="1:12">
      <c r="D50" s="9">
        <f>AVERAGE(D40:D49)</f>
        <v>0.34</v>
      </c>
      <c r="E50" s="5">
        <f>AVERAGE(E40:E49)</f>
        <v>0.95125</v>
      </c>
      <c r="F50" s="5">
        <f>AVERAGE(F40:F49)</f>
        <v>0.965464285714286</v>
      </c>
      <c r="G50" s="5">
        <f>AVERAGE(G40:G49)</f>
        <v>0.953563117725913</v>
      </c>
    </row>
    <row r="51" spans="1:12">
      <c r="G51" s="1"/>
      <c r="H51" s="1"/>
      <c r="I51" s="1"/>
      <c r="J51" s="1"/>
      <c r="K51" s="1"/>
      <c r="L51" s="1"/>
    </row>
    <row r="52" spans="1:12">
      <c r="A52" s="1" t="s">
        <v>6</v>
      </c>
      <c r="J52" s="2"/>
      <c r="K52" s="2"/>
      <c r="L52" s="2"/>
    </row>
    <row r="53" spans="1:12">
      <c r="A53" s="1" t="s">
        <v>21</v>
      </c>
      <c r="B53">
        <v>15</v>
      </c>
      <c r="C53">
        <v>15</v>
      </c>
      <c r="D53">
        <v>15</v>
      </c>
      <c r="E53">
        <v>15</v>
      </c>
      <c r="F53">
        <v>15</v>
      </c>
      <c r="G53">
        <f>AVERAGE(B53:F53)</f>
        <v>15</v>
      </c>
      <c r="J53" s="2"/>
      <c r="K53" s="2"/>
      <c r="L53" s="2"/>
    </row>
    <row r="54" spans="1:12">
      <c r="A54" s="1" t="s">
        <v>22</v>
      </c>
      <c r="B54">
        <v>0</v>
      </c>
      <c r="C54">
        <v>0</v>
      </c>
      <c r="D54">
        <v>0</v>
      </c>
      <c r="E54">
        <v>0</v>
      </c>
      <c r="F54">
        <v>0</v>
      </c>
      <c r="G54">
        <f t="shared" ref="G54:G100" si="5">AVERAGE(B54:F54)</f>
        <v>0</v>
      </c>
      <c r="J54" s="2"/>
      <c r="K54" s="2"/>
      <c r="L54" s="2"/>
    </row>
    <row r="55" spans="1:12">
      <c r="A55" s="1" t="s">
        <v>23</v>
      </c>
      <c r="B55">
        <v>1</v>
      </c>
      <c r="C55">
        <v>1</v>
      </c>
      <c r="D55">
        <v>1</v>
      </c>
      <c r="E55">
        <v>1</v>
      </c>
      <c r="F55">
        <v>1</v>
      </c>
      <c r="G55">
        <f t="shared" si="5"/>
        <v>1</v>
      </c>
      <c r="J55" s="2"/>
      <c r="K55" s="2"/>
      <c r="L55" s="2"/>
    </row>
    <row r="56" spans="1:12">
      <c r="J56" s="2"/>
      <c r="K56" s="2"/>
      <c r="L56" s="2"/>
    </row>
    <row r="57" spans="1:12">
      <c r="A57" s="1" t="s">
        <v>7</v>
      </c>
      <c r="J57" s="5"/>
      <c r="K57" s="2"/>
      <c r="L57" s="2"/>
    </row>
    <row r="58" spans="1:12">
      <c r="A58" s="1" t="s">
        <v>21</v>
      </c>
      <c r="B58">
        <v>13</v>
      </c>
      <c r="C58">
        <v>13</v>
      </c>
      <c r="D58">
        <v>13</v>
      </c>
      <c r="E58">
        <v>13</v>
      </c>
      <c r="F58">
        <v>13</v>
      </c>
      <c r="G58">
        <f t="shared" si="5"/>
        <v>13</v>
      </c>
      <c r="J58" s="2"/>
      <c r="K58" s="2"/>
      <c r="L58" s="2"/>
    </row>
    <row r="59" spans="1:12">
      <c r="A59" s="1" t="s">
        <v>22</v>
      </c>
      <c r="B59">
        <v>3</v>
      </c>
      <c r="C59">
        <v>3</v>
      </c>
      <c r="D59">
        <v>3</v>
      </c>
      <c r="E59">
        <v>3</v>
      </c>
      <c r="F59">
        <v>3</v>
      </c>
      <c r="G59">
        <f t="shared" si="5"/>
        <v>3</v>
      </c>
      <c r="J59" s="2"/>
      <c r="K59" s="2"/>
      <c r="L59" s="2"/>
    </row>
    <row r="60" spans="1:12">
      <c r="A60" s="1" t="s">
        <v>23</v>
      </c>
      <c r="B60">
        <v>0</v>
      </c>
      <c r="C60">
        <v>0</v>
      </c>
      <c r="D60">
        <v>0</v>
      </c>
      <c r="E60">
        <v>0</v>
      </c>
      <c r="F60">
        <v>0</v>
      </c>
      <c r="G60">
        <f t="shared" si="5"/>
        <v>0</v>
      </c>
      <c r="J60" s="2"/>
      <c r="K60" s="2"/>
      <c r="L60" s="2"/>
    </row>
    <row r="61" spans="1:12">
      <c r="J61" s="2"/>
      <c r="K61" s="2"/>
      <c r="L61" s="2"/>
    </row>
    <row r="62" spans="1:12">
      <c r="A62" s="1" t="s">
        <v>8</v>
      </c>
    </row>
    <row r="63" spans="1:12">
      <c r="A63" s="1" t="s">
        <v>21</v>
      </c>
      <c r="B63">
        <v>7</v>
      </c>
      <c r="C63">
        <v>7</v>
      </c>
      <c r="D63">
        <v>7</v>
      </c>
      <c r="E63">
        <v>7</v>
      </c>
      <c r="F63">
        <v>7</v>
      </c>
      <c r="G63">
        <f t="shared" si="5"/>
        <v>7</v>
      </c>
    </row>
    <row r="64" spans="1:12">
      <c r="A64" s="1" t="s">
        <v>22</v>
      </c>
      <c r="B64">
        <v>3</v>
      </c>
      <c r="C64">
        <v>3</v>
      </c>
      <c r="D64">
        <v>3</v>
      </c>
      <c r="E64">
        <v>3</v>
      </c>
      <c r="F64">
        <v>3</v>
      </c>
      <c r="G64">
        <f t="shared" si="5"/>
        <v>3</v>
      </c>
    </row>
    <row r="65" spans="1:7">
      <c r="A65" s="1" t="s">
        <v>23</v>
      </c>
      <c r="B65">
        <v>0</v>
      </c>
      <c r="C65">
        <v>0</v>
      </c>
      <c r="D65">
        <v>0</v>
      </c>
      <c r="E65">
        <v>0</v>
      </c>
      <c r="F65">
        <v>0</v>
      </c>
      <c r="G65">
        <f t="shared" si="5"/>
        <v>0</v>
      </c>
    </row>
    <row r="67" spans="1:7">
      <c r="A67" s="1" t="s">
        <v>9</v>
      </c>
    </row>
    <row r="68" spans="1:7">
      <c r="A68" s="1" t="s">
        <v>21</v>
      </c>
      <c r="B68">
        <v>9</v>
      </c>
      <c r="C68">
        <v>9</v>
      </c>
      <c r="D68">
        <v>8</v>
      </c>
      <c r="E68">
        <v>9</v>
      </c>
      <c r="F68">
        <v>8</v>
      </c>
      <c r="G68">
        <f t="shared" si="5"/>
        <v>8.6</v>
      </c>
    </row>
    <row r="69" spans="1:7">
      <c r="A69" s="1" t="s">
        <v>22</v>
      </c>
      <c r="B69">
        <v>0</v>
      </c>
      <c r="C69">
        <v>0</v>
      </c>
      <c r="D69">
        <v>0</v>
      </c>
      <c r="E69">
        <v>0</v>
      </c>
      <c r="F69">
        <v>0</v>
      </c>
      <c r="G69">
        <f t="shared" si="5"/>
        <v>0</v>
      </c>
    </row>
    <row r="70" spans="1:7">
      <c r="A70" s="1" t="s">
        <v>23</v>
      </c>
      <c r="B70">
        <v>1</v>
      </c>
      <c r="C70">
        <v>1</v>
      </c>
      <c r="D70">
        <v>2</v>
      </c>
      <c r="E70">
        <v>1</v>
      </c>
      <c r="F70">
        <v>2</v>
      </c>
      <c r="G70">
        <f t="shared" si="5"/>
        <v>1.4</v>
      </c>
    </row>
    <row r="72" spans="1:7">
      <c r="A72" s="1" t="s">
        <v>10</v>
      </c>
    </row>
    <row r="73" spans="1:7">
      <c r="A73" s="1" t="s">
        <v>21</v>
      </c>
      <c r="B73">
        <v>3</v>
      </c>
      <c r="C73">
        <v>3</v>
      </c>
      <c r="D73">
        <v>3</v>
      </c>
      <c r="E73">
        <v>3</v>
      </c>
      <c r="F73">
        <v>3</v>
      </c>
      <c r="G73">
        <f t="shared" si="5"/>
        <v>3</v>
      </c>
    </row>
    <row r="74" spans="1:7">
      <c r="A74" s="1" t="s">
        <v>22</v>
      </c>
      <c r="B74">
        <v>0</v>
      </c>
      <c r="C74">
        <v>0</v>
      </c>
      <c r="D74">
        <v>0</v>
      </c>
      <c r="E74">
        <v>0</v>
      </c>
      <c r="F74">
        <v>0</v>
      </c>
      <c r="G74">
        <f t="shared" si="5"/>
        <v>0</v>
      </c>
    </row>
    <row r="75" spans="1:7">
      <c r="A75" s="1" t="s">
        <v>23</v>
      </c>
      <c r="B75">
        <v>0</v>
      </c>
      <c r="C75">
        <v>0</v>
      </c>
      <c r="D75">
        <v>0</v>
      </c>
      <c r="E75">
        <v>0</v>
      </c>
      <c r="F75">
        <v>0</v>
      </c>
      <c r="G75">
        <f t="shared" si="5"/>
        <v>0</v>
      </c>
    </row>
    <row r="77" spans="1:7">
      <c r="A77" s="1" t="s">
        <v>11</v>
      </c>
    </row>
    <row r="78" spans="1:7">
      <c r="A78" s="1" t="s">
        <v>21</v>
      </c>
      <c r="B78">
        <v>6</v>
      </c>
      <c r="C78">
        <v>6</v>
      </c>
      <c r="D78">
        <v>6</v>
      </c>
      <c r="E78">
        <v>6</v>
      </c>
      <c r="F78">
        <v>6</v>
      </c>
      <c r="G78">
        <f t="shared" si="5"/>
        <v>6</v>
      </c>
    </row>
    <row r="79" spans="1:7">
      <c r="A79" s="1" t="s">
        <v>22</v>
      </c>
      <c r="B79">
        <v>0</v>
      </c>
      <c r="C79">
        <v>0</v>
      </c>
      <c r="D79">
        <v>0</v>
      </c>
      <c r="E79">
        <v>0</v>
      </c>
      <c r="F79">
        <v>0</v>
      </c>
      <c r="G79">
        <f t="shared" si="5"/>
        <v>0</v>
      </c>
    </row>
    <row r="80" spans="1:7">
      <c r="A80" s="1" t="s">
        <v>23</v>
      </c>
      <c r="B80">
        <v>1</v>
      </c>
      <c r="C80">
        <v>1</v>
      </c>
      <c r="D80">
        <v>1</v>
      </c>
      <c r="E80">
        <v>1</v>
      </c>
      <c r="F80">
        <v>1</v>
      </c>
      <c r="G80">
        <f t="shared" si="5"/>
        <v>1</v>
      </c>
    </row>
    <row r="82" spans="1:7">
      <c r="A82" s="1" t="s">
        <v>12</v>
      </c>
    </row>
    <row r="83" spans="1:7">
      <c r="A83" s="1" t="s">
        <v>21</v>
      </c>
      <c r="B83">
        <v>3</v>
      </c>
      <c r="C83">
        <v>3</v>
      </c>
      <c r="D83">
        <v>3</v>
      </c>
      <c r="E83">
        <v>3</v>
      </c>
      <c r="F83">
        <v>3</v>
      </c>
      <c r="G83">
        <f t="shared" si="5"/>
        <v>3</v>
      </c>
    </row>
    <row r="84" spans="1:7">
      <c r="A84" s="1" t="s">
        <v>22</v>
      </c>
      <c r="B84">
        <v>0</v>
      </c>
      <c r="C84">
        <v>0</v>
      </c>
      <c r="D84">
        <v>0</v>
      </c>
      <c r="E84">
        <v>0</v>
      </c>
      <c r="F84">
        <v>0</v>
      </c>
      <c r="G84">
        <f t="shared" si="5"/>
        <v>0</v>
      </c>
    </row>
    <row r="85" spans="1:7">
      <c r="A85" s="1" t="s">
        <v>23</v>
      </c>
      <c r="B85">
        <v>0</v>
      </c>
      <c r="C85">
        <v>0</v>
      </c>
      <c r="D85">
        <v>0</v>
      </c>
      <c r="E85">
        <v>0</v>
      </c>
      <c r="F85">
        <v>0</v>
      </c>
      <c r="G85">
        <f t="shared" si="5"/>
        <v>0</v>
      </c>
    </row>
    <row r="87" spans="1:7">
      <c r="A87" s="1" t="s">
        <v>13</v>
      </c>
    </row>
    <row r="88" spans="1:7">
      <c r="A88" s="1" t="s">
        <v>21</v>
      </c>
      <c r="B88">
        <v>2</v>
      </c>
      <c r="C88">
        <v>2</v>
      </c>
      <c r="D88">
        <v>2</v>
      </c>
      <c r="E88">
        <v>2</v>
      </c>
      <c r="F88">
        <v>2</v>
      </c>
      <c r="G88">
        <f t="shared" si="5"/>
        <v>2</v>
      </c>
    </row>
    <row r="89" spans="1:7">
      <c r="A89" s="1" t="s">
        <v>22</v>
      </c>
      <c r="B89">
        <v>0</v>
      </c>
      <c r="C89">
        <v>0</v>
      </c>
      <c r="D89">
        <v>0</v>
      </c>
      <c r="E89">
        <v>0</v>
      </c>
      <c r="F89">
        <v>0</v>
      </c>
      <c r="G89">
        <f t="shared" si="5"/>
        <v>0</v>
      </c>
    </row>
    <row r="90" spans="1:7">
      <c r="A90" s="1" t="s">
        <v>23</v>
      </c>
      <c r="B90">
        <v>0</v>
      </c>
      <c r="C90">
        <v>0</v>
      </c>
      <c r="D90">
        <v>0</v>
      </c>
      <c r="E90">
        <v>0</v>
      </c>
      <c r="F90">
        <v>0</v>
      </c>
      <c r="G90">
        <f t="shared" si="5"/>
        <v>0</v>
      </c>
    </row>
    <row r="92" spans="1:7">
      <c r="A92" s="1" t="s">
        <v>14</v>
      </c>
    </row>
    <row r="93" spans="1:7">
      <c r="A93" s="1" t="s">
        <v>21</v>
      </c>
      <c r="B93">
        <v>3</v>
      </c>
      <c r="C93">
        <v>3</v>
      </c>
      <c r="D93">
        <v>3</v>
      </c>
      <c r="E93">
        <v>3</v>
      </c>
      <c r="F93">
        <v>3</v>
      </c>
      <c r="G93">
        <f t="shared" si="5"/>
        <v>3</v>
      </c>
    </row>
    <row r="94" spans="1:7">
      <c r="A94" s="1" t="s">
        <v>22</v>
      </c>
      <c r="B94">
        <v>0</v>
      </c>
      <c r="C94">
        <v>0</v>
      </c>
      <c r="D94">
        <v>0</v>
      </c>
      <c r="E94">
        <v>0</v>
      </c>
      <c r="F94">
        <v>0</v>
      </c>
      <c r="G94">
        <f t="shared" si="5"/>
        <v>0</v>
      </c>
    </row>
    <row r="95" spans="1:7">
      <c r="A95" s="1" t="s">
        <v>23</v>
      </c>
      <c r="B95">
        <v>0</v>
      </c>
      <c r="C95">
        <v>0</v>
      </c>
      <c r="D95">
        <v>0</v>
      </c>
      <c r="E95">
        <v>0</v>
      </c>
      <c r="F95">
        <v>0</v>
      </c>
      <c r="G95">
        <f t="shared" si="5"/>
        <v>0</v>
      </c>
    </row>
    <row r="97" spans="1:7">
      <c r="A97" s="1" t="s">
        <v>15</v>
      </c>
    </row>
    <row r="98" spans="1:7">
      <c r="A98" s="1" t="s">
        <v>21</v>
      </c>
      <c r="B98">
        <v>1</v>
      </c>
      <c r="C98">
        <v>1</v>
      </c>
      <c r="D98">
        <v>1</v>
      </c>
      <c r="E98">
        <v>1</v>
      </c>
      <c r="F98">
        <v>1</v>
      </c>
      <c r="G98">
        <f t="shared" si="5"/>
        <v>1</v>
      </c>
    </row>
    <row r="99" spans="1:7">
      <c r="A99" s="1" t="s">
        <v>22</v>
      </c>
      <c r="B99">
        <v>0</v>
      </c>
      <c r="C99">
        <v>0</v>
      </c>
      <c r="D99">
        <v>0</v>
      </c>
      <c r="E99">
        <v>0</v>
      </c>
      <c r="F99">
        <v>0</v>
      </c>
      <c r="G99">
        <f t="shared" si="5"/>
        <v>0</v>
      </c>
    </row>
    <row r="100" spans="1:7">
      <c r="A100" s="1" t="s">
        <v>23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f t="shared" si="5"/>
        <v>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"/>
  <sheetViews>
    <sheetView workbookViewId="0">
      <selection activeCell="C13" sqref="C13"/>
    </sheetView>
  </sheetViews>
  <sheetFormatPr defaultColWidth="9.23076923076923" defaultRowHeight="16.8" outlineLevelCol="7"/>
  <cols>
    <col min="1" max="1" width="32.3653846153846" customWidth="1"/>
    <col min="2" max="2" width="8.49038461538461" customWidth="1"/>
  </cols>
  <sheetData>
    <row r="1" spans="1:8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t="s">
        <v>25</v>
      </c>
      <c r="G1" t="s">
        <v>26</v>
      </c>
      <c r="H1" s="1" t="s">
        <v>28</v>
      </c>
    </row>
    <row r="2" spans="1:8">
      <c r="A2" t="s">
        <v>6</v>
      </c>
      <c r="B2">
        <v>9</v>
      </c>
      <c r="C2">
        <v>0</v>
      </c>
      <c r="D2">
        <v>7</v>
      </c>
      <c r="E2" s="3">
        <v>1</v>
      </c>
      <c r="F2" s="5">
        <f t="shared" ref="F2:F11" si="0">1-H2</f>
        <v>0.5625</v>
      </c>
      <c r="G2" s="5">
        <f>2*E2*F2/(E2+F2)</f>
        <v>0.72</v>
      </c>
      <c r="H2" s="2">
        <f>D2/(B2+D2)</f>
        <v>0.4375</v>
      </c>
    </row>
    <row r="3" spans="1:8">
      <c r="A3" t="s">
        <v>7</v>
      </c>
      <c r="B3">
        <v>8</v>
      </c>
      <c r="C3">
        <v>0</v>
      </c>
      <c r="D3">
        <v>8</v>
      </c>
      <c r="E3" s="3">
        <v>1</v>
      </c>
      <c r="F3" s="5">
        <f t="shared" si="0"/>
        <v>0.5</v>
      </c>
      <c r="G3" s="5">
        <f t="shared" ref="G3:G11" si="1">2*E3*F3/(E3+F3)</f>
        <v>0.666666666666667</v>
      </c>
      <c r="H3" s="2">
        <f t="shared" ref="H3:H11" si="2">D3/(B3+D3)</f>
        <v>0.5</v>
      </c>
    </row>
    <row r="4" spans="1:8">
      <c r="A4" t="s">
        <v>8</v>
      </c>
      <c r="B4">
        <v>4</v>
      </c>
      <c r="C4">
        <v>0</v>
      </c>
      <c r="D4">
        <v>6</v>
      </c>
      <c r="E4" s="3">
        <v>1</v>
      </c>
      <c r="F4" s="5">
        <f t="shared" si="0"/>
        <v>0.4</v>
      </c>
      <c r="G4" s="5">
        <f t="shared" si="1"/>
        <v>0.571428571428572</v>
      </c>
      <c r="H4" s="2">
        <f t="shared" si="2"/>
        <v>0.6</v>
      </c>
    </row>
    <row r="5" spans="1:8">
      <c r="A5" t="s">
        <v>9</v>
      </c>
      <c r="B5">
        <v>8</v>
      </c>
      <c r="C5">
        <v>0</v>
      </c>
      <c r="D5">
        <v>2</v>
      </c>
      <c r="E5" s="3">
        <v>1</v>
      </c>
      <c r="F5" s="5">
        <f t="shared" si="0"/>
        <v>0.8</v>
      </c>
      <c r="G5" s="5">
        <f t="shared" si="1"/>
        <v>0.888888888888889</v>
      </c>
      <c r="H5" s="2">
        <f t="shared" si="2"/>
        <v>0.2</v>
      </c>
    </row>
    <row r="6" spans="1:8">
      <c r="A6" t="s">
        <v>10</v>
      </c>
      <c r="B6">
        <v>2</v>
      </c>
      <c r="C6">
        <v>0</v>
      </c>
      <c r="D6">
        <v>0</v>
      </c>
      <c r="E6" s="3">
        <v>1</v>
      </c>
      <c r="F6" s="5">
        <f t="shared" si="0"/>
        <v>1</v>
      </c>
      <c r="G6" s="5">
        <f t="shared" si="1"/>
        <v>1</v>
      </c>
      <c r="H6" s="2">
        <f t="shared" si="2"/>
        <v>0</v>
      </c>
    </row>
    <row r="7" spans="1:8">
      <c r="A7" t="s">
        <v>11</v>
      </c>
      <c r="B7">
        <v>3</v>
      </c>
      <c r="C7">
        <v>1</v>
      </c>
      <c r="D7">
        <v>3</v>
      </c>
      <c r="E7" s="3">
        <v>0.75</v>
      </c>
      <c r="F7" s="5">
        <f t="shared" si="0"/>
        <v>0.5</v>
      </c>
      <c r="G7" s="5">
        <f t="shared" si="1"/>
        <v>0.6</v>
      </c>
      <c r="H7" s="2">
        <f t="shared" si="2"/>
        <v>0.5</v>
      </c>
    </row>
    <row r="8" spans="1:8">
      <c r="A8" t="s">
        <v>12</v>
      </c>
      <c r="B8">
        <v>3</v>
      </c>
      <c r="C8">
        <v>0</v>
      </c>
      <c r="D8">
        <v>0</v>
      </c>
      <c r="E8" s="3">
        <v>1</v>
      </c>
      <c r="F8" s="5">
        <f t="shared" si="0"/>
        <v>1</v>
      </c>
      <c r="G8" s="5">
        <f t="shared" si="1"/>
        <v>1</v>
      </c>
      <c r="H8" s="2">
        <f t="shared" si="2"/>
        <v>0</v>
      </c>
    </row>
    <row r="9" spans="1:8">
      <c r="A9" t="s">
        <v>13</v>
      </c>
      <c r="B9">
        <v>2</v>
      </c>
      <c r="C9">
        <v>0</v>
      </c>
      <c r="D9">
        <v>0</v>
      </c>
      <c r="E9" s="3">
        <v>1</v>
      </c>
      <c r="F9" s="5">
        <f t="shared" si="0"/>
        <v>1</v>
      </c>
      <c r="G9" s="5">
        <f t="shared" si="1"/>
        <v>1</v>
      </c>
      <c r="H9" s="2">
        <f t="shared" si="2"/>
        <v>0</v>
      </c>
    </row>
    <row r="10" spans="1:8">
      <c r="A10" t="s">
        <v>14</v>
      </c>
      <c r="B10">
        <v>2</v>
      </c>
      <c r="C10">
        <v>0</v>
      </c>
      <c r="D10">
        <v>1</v>
      </c>
      <c r="E10" s="3">
        <v>1</v>
      </c>
      <c r="F10" s="5">
        <f t="shared" si="0"/>
        <v>0.666666666666667</v>
      </c>
      <c r="G10" s="5">
        <f t="shared" si="1"/>
        <v>0.8</v>
      </c>
      <c r="H10" s="2">
        <f t="shared" si="2"/>
        <v>0.333333333333333</v>
      </c>
    </row>
    <row r="11" spans="1:8">
      <c r="A11" t="s">
        <v>15</v>
      </c>
      <c r="B11">
        <v>1</v>
      </c>
      <c r="C11">
        <v>0</v>
      </c>
      <c r="D11">
        <v>0</v>
      </c>
      <c r="E11" s="3">
        <v>1</v>
      </c>
      <c r="F11" s="5">
        <f t="shared" si="0"/>
        <v>1</v>
      </c>
      <c r="G11" s="5">
        <f t="shared" si="1"/>
        <v>1</v>
      </c>
      <c r="H11" s="2">
        <f t="shared" si="2"/>
        <v>0</v>
      </c>
    </row>
    <row r="12" spans="1:8">
      <c r="D12" s="9">
        <f>AVERAGE(D2:D11)</f>
        <v>2.7</v>
      </c>
      <c r="E12" s="5">
        <f>AVERAGE(E2:E11)</f>
        <v>0.975</v>
      </c>
      <c r="F12" s="5">
        <f>AVERAGE(F2:F11)</f>
        <v>0.742916666666667</v>
      </c>
      <c r="G12" s="5">
        <f>AVERAGE(G2:G11)</f>
        <v>0.824698412698413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87"/>
  <sheetViews>
    <sheetView zoomScale="81" zoomScaleNormal="81" workbookViewId="0">
      <selection activeCell="E41" sqref="E41"/>
    </sheetView>
  </sheetViews>
  <sheetFormatPr defaultColWidth="9.23076923076923" defaultRowHeight="16.8"/>
  <cols>
    <col min="1" max="1" width="10.8942307692308" customWidth="1"/>
    <col min="2" max="2" width="26.2788461538462" customWidth="1"/>
    <col min="3" max="3" width="27.2403846153846" customWidth="1"/>
    <col min="4" max="4" width="27.7211538461538" customWidth="1"/>
    <col min="5" max="6" width="26.9038461538462" customWidth="1"/>
    <col min="7" max="7" width="26.7019230769231" customWidth="1"/>
    <col min="8" max="8" width="19.7115384615385" customWidth="1"/>
    <col min="9" max="9" width="20.8269230769231" customWidth="1"/>
    <col min="10" max="10" width="20.9903846153846" customWidth="1"/>
    <col min="11" max="11" width="19.5384615384615" customWidth="1"/>
    <col min="12" max="12" width="14.1538461538462"/>
  </cols>
  <sheetData>
    <row r="1" spans="1:9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</row>
    <row r="2" spans="1:9">
      <c r="A2">
        <v>60</v>
      </c>
      <c r="B2" s="2">
        <f>AVERAGE(B60:K60)</f>
        <v>0.6173</v>
      </c>
      <c r="C2" s="3">
        <f>AVERAGE(B72:K72)</f>
        <v>0.2</v>
      </c>
      <c r="D2" s="4">
        <f>AVERAGE(B84:K84)</f>
        <v>5</v>
      </c>
      <c r="E2" s="2">
        <f>AVERAGE(B24:K24)</f>
        <v>0.52802</v>
      </c>
      <c r="F2" s="3">
        <f>AVERAGE(B36:K36)</f>
        <v>0.2</v>
      </c>
      <c r="G2" s="6">
        <f>AVERAGE(B48:K48)</f>
        <v>12.7</v>
      </c>
    </row>
    <row r="3" spans="1:9">
      <c r="A3">
        <v>120</v>
      </c>
      <c r="B3" s="2">
        <f t="shared" ref="B3:B11" si="0">AVERAGE(B61:K61)</f>
        <v>0.6163</v>
      </c>
      <c r="C3" s="3">
        <f t="shared" ref="C3:C11" si="1">AVERAGE(B73:K73)</f>
        <v>0.2</v>
      </c>
      <c r="D3" s="4">
        <f t="shared" ref="D3:D11" si="2">AVERAGE(B85:K85)</f>
        <v>16.4</v>
      </c>
      <c r="E3" s="2">
        <f t="shared" ref="E3:E11" si="3">AVERAGE(B25:K25)</f>
        <v>0.53321</v>
      </c>
      <c r="F3" s="3">
        <f t="shared" ref="F3:F11" si="4">AVERAGE(B37:K37)</f>
        <v>0.2</v>
      </c>
      <c r="G3" s="6">
        <f t="shared" ref="G3:G11" si="5">AVERAGE(B49:K49)</f>
        <v>29.2</v>
      </c>
    </row>
    <row r="4" spans="1:9">
      <c r="A4">
        <v>180</v>
      </c>
      <c r="B4" s="2">
        <f t="shared" si="0"/>
        <v>0.618</v>
      </c>
      <c r="C4" s="3">
        <f t="shared" si="1"/>
        <v>0.2</v>
      </c>
      <c r="D4" s="4">
        <f t="shared" si="2"/>
        <v>27.9</v>
      </c>
      <c r="E4" s="2">
        <f t="shared" si="3"/>
        <v>0.53087</v>
      </c>
      <c r="F4" s="3">
        <f t="shared" si="4"/>
        <v>0.2</v>
      </c>
      <c r="G4" s="6">
        <f t="shared" si="5"/>
        <v>43.7</v>
      </c>
    </row>
    <row r="5" spans="1:9">
      <c r="A5">
        <v>240</v>
      </c>
      <c r="B5" s="2">
        <f t="shared" si="0"/>
        <v>0.64446</v>
      </c>
      <c r="C5" s="3">
        <f t="shared" si="1"/>
        <v>0.2</v>
      </c>
      <c r="D5" s="4">
        <f t="shared" si="2"/>
        <v>37.3</v>
      </c>
      <c r="E5" s="2">
        <f t="shared" si="3"/>
        <v>0.53349</v>
      </c>
      <c r="F5" s="3">
        <f t="shared" si="4"/>
        <v>0.2</v>
      </c>
      <c r="G5" s="6">
        <f t="shared" si="5"/>
        <v>60.1</v>
      </c>
      <c r="I5" s="3"/>
    </row>
    <row r="6" spans="1:9">
      <c r="A6">
        <v>300</v>
      </c>
      <c r="B6" s="2">
        <f t="shared" si="0"/>
        <v>0.65801</v>
      </c>
      <c r="C6" s="3">
        <f t="shared" si="1"/>
        <v>0.22</v>
      </c>
      <c r="D6" s="4">
        <f t="shared" si="2"/>
        <v>44</v>
      </c>
      <c r="E6" s="2">
        <f t="shared" si="3"/>
        <v>0.52402</v>
      </c>
      <c r="F6" s="3">
        <f t="shared" si="4"/>
        <v>0.23</v>
      </c>
      <c r="G6" s="6">
        <f t="shared" si="5"/>
        <v>81.5</v>
      </c>
    </row>
    <row r="7" spans="1:9">
      <c r="A7">
        <v>360</v>
      </c>
      <c r="B7" s="2">
        <f t="shared" si="0"/>
        <v>0.6577</v>
      </c>
      <c r="C7" s="3">
        <f t="shared" si="1"/>
        <v>0.4</v>
      </c>
      <c r="D7" s="4">
        <f t="shared" si="2"/>
        <v>54.9</v>
      </c>
      <c r="E7" s="2">
        <f t="shared" si="3"/>
        <v>0.54672</v>
      </c>
      <c r="F7" s="3">
        <f t="shared" si="4"/>
        <v>0.22</v>
      </c>
      <c r="G7" s="6">
        <f t="shared" si="5"/>
        <v>100.1</v>
      </c>
    </row>
    <row r="8" spans="1:9">
      <c r="A8">
        <v>420</v>
      </c>
      <c r="B8" s="2">
        <f t="shared" si="0"/>
        <v>0.69846</v>
      </c>
      <c r="C8" s="3">
        <f t="shared" si="1"/>
        <v>0.62</v>
      </c>
      <c r="D8" s="4">
        <f t="shared" si="2"/>
        <v>66.3</v>
      </c>
      <c r="E8" s="2">
        <f t="shared" si="3"/>
        <v>0.54405</v>
      </c>
      <c r="F8" s="3">
        <f t="shared" si="4"/>
        <v>0.2</v>
      </c>
      <c r="G8" s="6">
        <f t="shared" si="5"/>
        <v>135.6</v>
      </c>
    </row>
    <row r="9" spans="1:9">
      <c r="A9">
        <v>480</v>
      </c>
      <c r="B9" s="2">
        <f t="shared" si="0"/>
        <v>0.6781</v>
      </c>
      <c r="C9" s="3">
        <f t="shared" si="1"/>
        <v>0.8</v>
      </c>
      <c r="D9" s="4">
        <f t="shared" si="2"/>
        <v>70</v>
      </c>
      <c r="E9" s="2">
        <f t="shared" si="3"/>
        <v>0.53065</v>
      </c>
      <c r="F9" s="3">
        <f t="shared" si="4"/>
        <v>0.2</v>
      </c>
      <c r="G9" s="6">
        <f t="shared" si="5"/>
        <v>139.9</v>
      </c>
    </row>
    <row r="10" spans="1:9">
      <c r="A10">
        <v>540</v>
      </c>
      <c r="B10" s="2">
        <f t="shared" si="0"/>
        <v>0.6781</v>
      </c>
      <c r="C10" s="3">
        <f t="shared" si="1"/>
        <v>0.8</v>
      </c>
      <c r="D10" s="4">
        <f t="shared" si="2"/>
        <v>70</v>
      </c>
      <c r="E10" s="2">
        <f t="shared" si="3"/>
        <v>0.55938</v>
      </c>
      <c r="F10" s="3">
        <f t="shared" si="4"/>
        <v>0.23</v>
      </c>
      <c r="G10" s="6">
        <f t="shared" si="5"/>
        <v>136</v>
      </c>
    </row>
    <row r="11" spans="1:9">
      <c r="A11">
        <v>600</v>
      </c>
      <c r="B11" s="2">
        <f t="shared" si="0"/>
        <v>0.67799</v>
      </c>
      <c r="C11" s="3">
        <f t="shared" si="1"/>
        <v>0.8</v>
      </c>
      <c r="D11" s="4">
        <f t="shared" si="2"/>
        <v>69.9</v>
      </c>
      <c r="E11" s="2">
        <f t="shared" si="3"/>
        <v>0.52321</v>
      </c>
      <c r="F11" s="3">
        <f t="shared" si="4"/>
        <v>0.2</v>
      </c>
      <c r="G11" s="6">
        <f t="shared" si="5"/>
        <v>213</v>
      </c>
    </row>
    <row r="20" spans="1:12">
      <c r="F20" s="2"/>
      <c r="G20" s="3"/>
    </row>
    <row r="21" spans="1:12">
      <c r="F21" s="2"/>
      <c r="G21" s="3"/>
    </row>
    <row r="22" spans="1:12">
      <c r="B22" s="2"/>
      <c r="F22" s="2"/>
      <c r="G22" s="3"/>
    </row>
    <row r="23" spans="1:12">
      <c r="A23" s="1" t="s">
        <v>29</v>
      </c>
      <c r="B23" s="1" t="s">
        <v>33</v>
      </c>
      <c r="F23" s="2"/>
      <c r="G23" s="3"/>
    </row>
    <row r="24" spans="1:12">
      <c r="A24">
        <v>60</v>
      </c>
      <c r="B24" s="2">
        <v>0.5311</v>
      </c>
      <c r="C24" s="2">
        <v>0.5311</v>
      </c>
      <c r="D24" s="2">
        <v>0.5311</v>
      </c>
      <c r="E24" s="2">
        <v>0.5311</v>
      </c>
      <c r="F24" s="2">
        <v>0.5311</v>
      </c>
      <c r="G24" s="2">
        <v>0.5311</v>
      </c>
      <c r="H24" s="2">
        <v>0.5311</v>
      </c>
      <c r="I24" s="2">
        <v>0.5311</v>
      </c>
      <c r="J24" s="2">
        <v>0.5311</v>
      </c>
      <c r="K24" s="2">
        <v>0.5003</v>
      </c>
      <c r="L24" s="5">
        <f>AVERAGE(B24:K24)</f>
        <v>0.52802</v>
      </c>
    </row>
    <row r="25" spans="1:12">
      <c r="A25">
        <v>120</v>
      </c>
      <c r="B25" s="2">
        <v>0.5296</v>
      </c>
      <c r="C25" s="2">
        <v>0.5017</v>
      </c>
      <c r="D25" s="2">
        <v>0.5311</v>
      </c>
      <c r="E25" s="2">
        <v>0.5325</v>
      </c>
      <c r="F25" s="2">
        <v>0.5311</v>
      </c>
      <c r="G25" s="2">
        <v>0.5003</v>
      </c>
      <c r="H25" s="2">
        <v>0.6391</v>
      </c>
      <c r="I25" s="2">
        <v>0.5325</v>
      </c>
      <c r="J25" s="2">
        <v>0.5017</v>
      </c>
      <c r="K25" s="2">
        <v>0.5325</v>
      </c>
      <c r="L25" s="5">
        <f>AVERAGE(B25:K25)</f>
        <v>0.53321</v>
      </c>
    </row>
    <row r="26" spans="1:12">
      <c r="A26">
        <v>180</v>
      </c>
      <c r="B26" s="2">
        <v>0.5788</v>
      </c>
      <c r="C26" s="2">
        <v>0.5318</v>
      </c>
      <c r="D26" s="2">
        <v>0.5332</v>
      </c>
      <c r="E26" s="2">
        <v>0.5003</v>
      </c>
      <c r="F26" s="2">
        <v>0.5325</v>
      </c>
      <c r="G26" s="2">
        <v>0.5311</v>
      </c>
      <c r="H26" s="2">
        <v>0.507</v>
      </c>
      <c r="I26" s="2">
        <v>0.5311</v>
      </c>
      <c r="J26" s="2">
        <v>0.5318</v>
      </c>
      <c r="K26" s="2">
        <v>0.5311</v>
      </c>
      <c r="L26" s="5">
        <f>AVERAGE(B26:K26)</f>
        <v>0.53087</v>
      </c>
    </row>
    <row r="27" spans="1:12">
      <c r="A27">
        <v>240</v>
      </c>
      <c r="B27" s="2">
        <v>0.5325</v>
      </c>
      <c r="C27" s="2">
        <v>0.611</v>
      </c>
      <c r="D27" s="2">
        <v>0.5318</v>
      </c>
      <c r="E27" s="2">
        <v>0.5318</v>
      </c>
      <c r="F27" s="2">
        <v>0.5017</v>
      </c>
      <c r="G27" s="2">
        <v>0.5311</v>
      </c>
      <c r="H27" s="2">
        <v>0.5311</v>
      </c>
      <c r="I27" s="2">
        <v>0.5311</v>
      </c>
      <c r="J27" s="2">
        <v>0.5017</v>
      </c>
      <c r="K27" s="2">
        <v>0.5311</v>
      </c>
      <c r="L27" s="5">
        <f t="shared" ref="L27:L33" si="6">AVERAGE(B27:K27)</f>
        <v>0.53349</v>
      </c>
    </row>
    <row r="28" spans="1:12">
      <c r="A28">
        <v>300</v>
      </c>
      <c r="B28" s="2">
        <v>0.5017</v>
      </c>
      <c r="C28" s="2">
        <v>0.5031</v>
      </c>
      <c r="D28" s="2">
        <v>0.5311</v>
      </c>
      <c r="E28" s="2">
        <v>0.5017</v>
      </c>
      <c r="F28" s="2">
        <v>0.5311</v>
      </c>
      <c r="G28" s="2">
        <v>0.5311</v>
      </c>
      <c r="H28" s="2">
        <v>0.5325</v>
      </c>
      <c r="I28" s="2">
        <v>0.5017</v>
      </c>
      <c r="J28" s="2">
        <v>0.608</v>
      </c>
      <c r="K28" s="2">
        <v>0.4982</v>
      </c>
      <c r="L28" s="5">
        <f t="shared" si="6"/>
        <v>0.52402</v>
      </c>
    </row>
    <row r="29" spans="1:12">
      <c r="A29">
        <v>360</v>
      </c>
      <c r="B29" s="2">
        <v>0.5879</v>
      </c>
      <c r="C29" s="2">
        <v>0.5017</v>
      </c>
      <c r="D29" s="2">
        <v>0.6244</v>
      </c>
      <c r="E29" s="2">
        <v>0.5325</v>
      </c>
      <c r="F29" s="2">
        <v>0.5325</v>
      </c>
      <c r="G29" s="2">
        <v>0.5318</v>
      </c>
      <c r="H29" s="2">
        <v>0.5017</v>
      </c>
      <c r="I29" s="2">
        <v>0.5311</v>
      </c>
      <c r="J29" s="2">
        <v>0.5925</v>
      </c>
      <c r="K29" s="2">
        <v>0.5311</v>
      </c>
      <c r="L29" s="5">
        <f t="shared" si="6"/>
        <v>0.54672</v>
      </c>
    </row>
    <row r="30" spans="1:12">
      <c r="A30">
        <v>420</v>
      </c>
      <c r="B30" s="2">
        <v>0.5017</v>
      </c>
      <c r="C30" s="2">
        <v>0.5017</v>
      </c>
      <c r="D30" s="2">
        <v>0.5473</v>
      </c>
      <c r="E30" s="2">
        <v>0.5017</v>
      </c>
      <c r="F30" s="2">
        <v>0.6124</v>
      </c>
      <c r="G30" s="2">
        <v>0.576</v>
      </c>
      <c r="H30" s="2">
        <v>0.5332</v>
      </c>
      <c r="I30" s="2">
        <v>0.5795</v>
      </c>
      <c r="J30" s="2">
        <v>0.5552</v>
      </c>
      <c r="K30" s="2">
        <v>0.5318</v>
      </c>
      <c r="L30" s="5">
        <f t="shared" si="6"/>
        <v>0.54405</v>
      </c>
    </row>
    <row r="31" spans="1:12">
      <c r="A31">
        <v>480</v>
      </c>
      <c r="B31" s="2">
        <v>0.5495</v>
      </c>
      <c r="C31" s="2">
        <v>0.5459</v>
      </c>
      <c r="D31" s="2">
        <v>0.5318</v>
      </c>
      <c r="E31" s="2">
        <v>0.5767</v>
      </c>
      <c r="F31" s="2">
        <v>0.5325</v>
      </c>
      <c r="G31" s="2">
        <v>0.5318</v>
      </c>
      <c r="H31" s="2">
        <v>0.5332</v>
      </c>
      <c r="I31" s="2">
        <v>0.5017</v>
      </c>
      <c r="J31" s="2">
        <v>0.5017</v>
      </c>
      <c r="K31" s="2">
        <v>0.5017</v>
      </c>
      <c r="L31" s="5">
        <f t="shared" si="6"/>
        <v>0.53065</v>
      </c>
    </row>
    <row r="32" spans="1:12">
      <c r="A32">
        <v>540</v>
      </c>
      <c r="B32" s="2">
        <v>0.5332</v>
      </c>
      <c r="C32" s="2">
        <v>0.5318</v>
      </c>
      <c r="D32" s="2">
        <v>0.6717</v>
      </c>
      <c r="E32" s="2">
        <v>0.5017</v>
      </c>
      <c r="F32" s="2">
        <v>0.6729</v>
      </c>
      <c r="G32" s="2">
        <v>0.6117</v>
      </c>
      <c r="H32" s="2">
        <v>0.5062</v>
      </c>
      <c r="I32" s="2">
        <v>0.5318</v>
      </c>
      <c r="J32" s="2">
        <v>0.5017</v>
      </c>
      <c r="K32" s="2">
        <v>0.5311</v>
      </c>
      <c r="L32" s="5">
        <f t="shared" si="6"/>
        <v>0.55938</v>
      </c>
    </row>
    <row r="33" spans="1:12">
      <c r="A33">
        <v>600</v>
      </c>
      <c r="B33" s="2">
        <v>0.5017</v>
      </c>
      <c r="C33" s="2">
        <v>0.5318</v>
      </c>
      <c r="D33" s="2">
        <v>0.5003</v>
      </c>
      <c r="E33" s="2">
        <v>0.5017</v>
      </c>
      <c r="F33" s="2">
        <v>0.5017</v>
      </c>
      <c r="G33" s="2">
        <v>0.5031</v>
      </c>
      <c r="H33" s="2">
        <v>0.6124</v>
      </c>
      <c r="I33" s="2">
        <v>0.5017</v>
      </c>
      <c r="J33" s="2">
        <v>0.5459</v>
      </c>
      <c r="K33" s="2">
        <v>0.5318</v>
      </c>
      <c r="L33" s="5">
        <f t="shared" si="6"/>
        <v>0.52321</v>
      </c>
    </row>
    <row r="35" spans="1:12">
      <c r="A35" s="1" t="s">
        <v>29</v>
      </c>
      <c r="B35" s="1" t="s">
        <v>34</v>
      </c>
    </row>
    <row r="36" spans="1:12">
      <c r="A36">
        <v>60</v>
      </c>
      <c r="B36" s="3">
        <v>0.2</v>
      </c>
      <c r="C36" s="3">
        <v>0.2</v>
      </c>
      <c r="D36" s="3">
        <v>0.2</v>
      </c>
      <c r="E36" s="3">
        <v>0.2</v>
      </c>
      <c r="F36" s="3">
        <v>0.2</v>
      </c>
      <c r="G36" s="3">
        <v>0.2</v>
      </c>
      <c r="H36" s="3">
        <v>0.2</v>
      </c>
      <c r="I36" s="3">
        <v>0.2</v>
      </c>
      <c r="J36" s="3">
        <v>0.2</v>
      </c>
      <c r="K36" s="3">
        <v>0.2</v>
      </c>
      <c r="L36" s="5">
        <f>AVERAGE(B36:K36)</f>
        <v>0.2</v>
      </c>
    </row>
    <row r="37" spans="1:12">
      <c r="A37">
        <v>120</v>
      </c>
      <c r="B37" s="3">
        <v>0.2</v>
      </c>
      <c r="C37" s="3">
        <v>0.2</v>
      </c>
      <c r="D37" s="3">
        <v>0.2</v>
      </c>
      <c r="E37" s="3">
        <v>0.2</v>
      </c>
      <c r="F37" s="3">
        <v>0.2</v>
      </c>
      <c r="G37" s="3">
        <v>0.2</v>
      </c>
      <c r="H37" s="3">
        <v>0.2</v>
      </c>
      <c r="I37" s="3">
        <v>0.2</v>
      </c>
      <c r="J37" s="3">
        <v>0.2</v>
      </c>
      <c r="K37" s="3">
        <v>0.2</v>
      </c>
      <c r="L37" s="5">
        <f t="shared" ref="L37:L45" si="7">AVERAGE(B37:K37)</f>
        <v>0.2</v>
      </c>
    </row>
    <row r="38" spans="1:12">
      <c r="A38">
        <v>180</v>
      </c>
      <c r="B38" s="3">
        <v>0.2</v>
      </c>
      <c r="C38" s="3">
        <v>0.2</v>
      </c>
      <c r="D38" s="3">
        <v>0.2</v>
      </c>
      <c r="E38" s="3">
        <v>0.2</v>
      </c>
      <c r="F38" s="3">
        <v>0.2</v>
      </c>
      <c r="G38" s="3">
        <v>0.2</v>
      </c>
      <c r="H38" s="3">
        <v>0.2</v>
      </c>
      <c r="I38" s="3">
        <v>0.2</v>
      </c>
      <c r="J38" s="3">
        <v>0.2</v>
      </c>
      <c r="K38" s="3">
        <v>0.2</v>
      </c>
      <c r="L38" s="5">
        <f t="shared" si="7"/>
        <v>0.2</v>
      </c>
    </row>
    <row r="39" spans="1:12">
      <c r="A39">
        <v>240</v>
      </c>
      <c r="B39" s="3">
        <v>0.2</v>
      </c>
      <c r="C39" s="3">
        <v>0.2</v>
      </c>
      <c r="D39" s="3">
        <v>0.2</v>
      </c>
      <c r="E39" s="3">
        <v>0.2</v>
      </c>
      <c r="F39" s="3">
        <v>0.2</v>
      </c>
      <c r="G39" s="3">
        <v>0.2</v>
      </c>
      <c r="H39" s="3">
        <v>0.2</v>
      </c>
      <c r="I39" s="3">
        <v>0.2</v>
      </c>
      <c r="J39" s="3">
        <v>0.2</v>
      </c>
      <c r="K39" s="3">
        <v>0.2</v>
      </c>
      <c r="L39" s="5">
        <f t="shared" si="7"/>
        <v>0.2</v>
      </c>
    </row>
    <row r="40" spans="1:12">
      <c r="A40">
        <v>300</v>
      </c>
      <c r="B40" s="3">
        <v>0.2</v>
      </c>
      <c r="C40" s="3">
        <v>0.2</v>
      </c>
      <c r="D40" s="3">
        <v>0.2</v>
      </c>
      <c r="E40" s="3">
        <v>0.2</v>
      </c>
      <c r="F40" s="3">
        <v>0.2</v>
      </c>
      <c r="G40" s="3">
        <v>0.2</v>
      </c>
      <c r="H40" s="3">
        <v>0.2</v>
      </c>
      <c r="I40" s="3">
        <v>0.2</v>
      </c>
      <c r="J40" s="3">
        <v>0.5</v>
      </c>
      <c r="K40" s="3">
        <v>0.2</v>
      </c>
      <c r="L40" s="5">
        <f t="shared" si="7"/>
        <v>0.23</v>
      </c>
    </row>
    <row r="41" spans="1:12">
      <c r="A41">
        <v>360</v>
      </c>
      <c r="B41" s="3">
        <v>0.2</v>
      </c>
      <c r="C41" s="3">
        <v>0.2</v>
      </c>
      <c r="D41" s="3">
        <v>0.3</v>
      </c>
      <c r="E41" s="3">
        <v>0.2</v>
      </c>
      <c r="F41" s="3">
        <v>0.2</v>
      </c>
      <c r="G41" s="3">
        <v>0.2</v>
      </c>
      <c r="H41" s="3">
        <v>0.2</v>
      </c>
      <c r="I41" s="3">
        <v>0.2</v>
      </c>
      <c r="J41" s="3">
        <v>0.3</v>
      </c>
      <c r="K41" s="3">
        <v>0.2</v>
      </c>
      <c r="L41" s="5">
        <f t="shared" si="7"/>
        <v>0.22</v>
      </c>
    </row>
    <row r="42" spans="1:12">
      <c r="A42">
        <v>420</v>
      </c>
      <c r="B42" s="3">
        <v>0.2</v>
      </c>
      <c r="C42" s="3">
        <v>0.2</v>
      </c>
      <c r="D42" s="3">
        <v>0.2</v>
      </c>
      <c r="E42" s="3">
        <v>0.2</v>
      </c>
      <c r="F42" s="3">
        <v>0.2</v>
      </c>
      <c r="G42" s="3">
        <v>0.2</v>
      </c>
      <c r="H42" s="3">
        <v>0.2</v>
      </c>
      <c r="I42" s="3">
        <v>0.2</v>
      </c>
      <c r="J42" s="3">
        <v>0.2</v>
      </c>
      <c r="K42" s="3">
        <v>0.2</v>
      </c>
      <c r="L42" s="5">
        <f t="shared" si="7"/>
        <v>0.2</v>
      </c>
    </row>
    <row r="43" spans="1:12">
      <c r="A43">
        <v>480</v>
      </c>
      <c r="B43" s="3">
        <v>0.2</v>
      </c>
      <c r="C43" s="3">
        <v>0.2</v>
      </c>
      <c r="D43" s="3">
        <v>0.2</v>
      </c>
      <c r="E43" s="3">
        <v>0.2</v>
      </c>
      <c r="F43" s="3">
        <v>0.2</v>
      </c>
      <c r="G43" s="3">
        <v>0.2</v>
      </c>
      <c r="H43" s="3">
        <v>0.2</v>
      </c>
      <c r="I43" s="3">
        <v>0.2</v>
      </c>
      <c r="J43" s="3">
        <v>0.2</v>
      </c>
      <c r="K43" s="3">
        <v>0.2</v>
      </c>
      <c r="L43" s="5">
        <f t="shared" si="7"/>
        <v>0.2</v>
      </c>
    </row>
    <row r="44" spans="1:12">
      <c r="A44">
        <v>540</v>
      </c>
      <c r="B44" s="3">
        <v>0.2</v>
      </c>
      <c r="C44" s="3">
        <v>0.2</v>
      </c>
      <c r="D44" s="3">
        <v>0.2</v>
      </c>
      <c r="E44" s="3">
        <v>0.2</v>
      </c>
      <c r="F44" s="3">
        <v>0.5</v>
      </c>
      <c r="G44" s="3">
        <v>0.2</v>
      </c>
      <c r="H44" s="3">
        <v>0.2</v>
      </c>
      <c r="I44" s="3">
        <v>0.2</v>
      </c>
      <c r="J44" s="3">
        <v>0.2</v>
      </c>
      <c r="K44" s="3">
        <v>0.2</v>
      </c>
      <c r="L44" s="5">
        <f t="shared" si="7"/>
        <v>0.23</v>
      </c>
    </row>
    <row r="45" spans="1:12">
      <c r="A45">
        <v>600</v>
      </c>
      <c r="B45" s="3">
        <v>0.2</v>
      </c>
      <c r="C45" s="3">
        <v>0.2</v>
      </c>
      <c r="D45" s="3">
        <v>0.2</v>
      </c>
      <c r="E45" s="3">
        <v>0.2</v>
      </c>
      <c r="F45" s="3">
        <v>0.2</v>
      </c>
      <c r="G45" s="3">
        <v>0.2</v>
      </c>
      <c r="H45" s="3">
        <v>0.2</v>
      </c>
      <c r="I45" s="3">
        <v>0.2</v>
      </c>
      <c r="J45" s="3">
        <v>0.2</v>
      </c>
      <c r="K45" s="3">
        <v>0.2</v>
      </c>
      <c r="L45" s="5">
        <f t="shared" si="7"/>
        <v>0.2</v>
      </c>
    </row>
    <row r="47" spans="1:12">
      <c r="A47" s="1" t="s">
        <v>29</v>
      </c>
      <c r="B47" s="1" t="s">
        <v>35</v>
      </c>
    </row>
    <row r="48" spans="1:12">
      <c r="A48">
        <v>60</v>
      </c>
      <c r="B48">
        <v>13</v>
      </c>
      <c r="C48">
        <v>11</v>
      </c>
      <c r="D48">
        <v>9</v>
      </c>
      <c r="E48">
        <v>12</v>
      </c>
      <c r="F48">
        <v>10</v>
      </c>
      <c r="G48">
        <v>17</v>
      </c>
      <c r="H48">
        <v>20</v>
      </c>
      <c r="I48">
        <v>8</v>
      </c>
      <c r="J48">
        <v>8</v>
      </c>
      <c r="K48">
        <v>19</v>
      </c>
      <c r="L48">
        <f>AVERAGE(B48:K48)</f>
        <v>12.7</v>
      </c>
    </row>
    <row r="49" spans="1:12">
      <c r="A49">
        <v>120</v>
      </c>
      <c r="B49">
        <v>22</v>
      </c>
      <c r="C49">
        <v>43</v>
      </c>
      <c r="D49">
        <v>25</v>
      </c>
      <c r="E49">
        <v>21</v>
      </c>
      <c r="F49">
        <v>27</v>
      </c>
      <c r="G49">
        <v>43</v>
      </c>
      <c r="H49">
        <v>26</v>
      </c>
      <c r="I49">
        <v>23</v>
      </c>
      <c r="J49">
        <v>43</v>
      </c>
      <c r="K49">
        <v>19</v>
      </c>
      <c r="L49" s="4">
        <f t="shared" ref="L47:L57" si="8">AVERAGE(B49:K49)</f>
        <v>29.2</v>
      </c>
    </row>
    <row r="50" spans="1:12">
      <c r="A50">
        <v>180</v>
      </c>
      <c r="B50">
        <v>38</v>
      </c>
      <c r="C50">
        <v>44</v>
      </c>
      <c r="D50">
        <v>41</v>
      </c>
      <c r="E50">
        <v>69</v>
      </c>
      <c r="F50">
        <v>34</v>
      </c>
      <c r="G50">
        <v>37</v>
      </c>
      <c r="H50">
        <v>69</v>
      </c>
      <c r="I50">
        <v>38</v>
      </c>
      <c r="J50">
        <v>37</v>
      </c>
      <c r="K50">
        <v>30</v>
      </c>
      <c r="L50" s="4">
        <f t="shared" si="8"/>
        <v>43.7</v>
      </c>
    </row>
    <row r="51" spans="1:12">
      <c r="A51">
        <v>240</v>
      </c>
      <c r="B51">
        <v>47</v>
      </c>
      <c r="C51">
        <v>58</v>
      </c>
      <c r="D51">
        <v>59</v>
      </c>
      <c r="E51">
        <v>59</v>
      </c>
      <c r="F51">
        <v>93</v>
      </c>
      <c r="G51">
        <v>46</v>
      </c>
      <c r="H51">
        <v>46</v>
      </c>
      <c r="I51">
        <v>44</v>
      </c>
      <c r="J51">
        <v>95</v>
      </c>
      <c r="K51">
        <v>54</v>
      </c>
      <c r="L51" s="6">
        <f t="shared" si="8"/>
        <v>60.1</v>
      </c>
    </row>
    <row r="52" spans="1:12">
      <c r="A52">
        <v>300</v>
      </c>
      <c r="B52">
        <v>63</v>
      </c>
      <c r="C52" s="8">
        <v>120</v>
      </c>
      <c r="D52">
        <v>71</v>
      </c>
      <c r="E52">
        <v>117</v>
      </c>
      <c r="F52">
        <v>48</v>
      </c>
      <c r="G52">
        <v>53</v>
      </c>
      <c r="H52">
        <v>49</v>
      </c>
      <c r="I52">
        <v>114</v>
      </c>
      <c r="J52">
        <v>64</v>
      </c>
      <c r="K52">
        <v>116</v>
      </c>
      <c r="L52" s="4">
        <f t="shared" si="8"/>
        <v>81.5</v>
      </c>
    </row>
    <row r="53" spans="1:12">
      <c r="A53">
        <v>360</v>
      </c>
      <c r="B53">
        <v>94</v>
      </c>
      <c r="C53" s="8">
        <v>144</v>
      </c>
      <c r="D53">
        <v>106</v>
      </c>
      <c r="E53">
        <v>94</v>
      </c>
      <c r="F53">
        <v>91</v>
      </c>
      <c r="G53">
        <v>84</v>
      </c>
      <c r="H53">
        <v>143</v>
      </c>
      <c r="I53">
        <v>97</v>
      </c>
      <c r="J53">
        <v>68</v>
      </c>
      <c r="K53">
        <v>80</v>
      </c>
      <c r="L53" s="4">
        <f t="shared" si="8"/>
        <v>100.1</v>
      </c>
    </row>
    <row r="54" spans="1:12">
      <c r="A54">
        <v>420</v>
      </c>
      <c r="B54">
        <v>171</v>
      </c>
      <c r="C54">
        <v>168</v>
      </c>
      <c r="D54">
        <v>139</v>
      </c>
      <c r="E54">
        <v>169</v>
      </c>
      <c r="F54">
        <v>101</v>
      </c>
      <c r="G54">
        <v>82</v>
      </c>
      <c r="H54">
        <v>108</v>
      </c>
      <c r="I54">
        <v>139</v>
      </c>
      <c r="J54">
        <v>180</v>
      </c>
      <c r="K54">
        <v>99</v>
      </c>
      <c r="L54" s="4">
        <f t="shared" si="8"/>
        <v>135.6</v>
      </c>
    </row>
    <row r="55" spans="1:12">
      <c r="A55">
        <v>480</v>
      </c>
      <c r="B55">
        <v>166</v>
      </c>
      <c r="C55">
        <v>80</v>
      </c>
      <c r="D55">
        <v>105</v>
      </c>
      <c r="E55">
        <v>118</v>
      </c>
      <c r="F55">
        <v>111</v>
      </c>
      <c r="G55">
        <v>110</v>
      </c>
      <c r="H55">
        <v>127</v>
      </c>
      <c r="I55">
        <v>192</v>
      </c>
      <c r="J55">
        <v>196</v>
      </c>
      <c r="K55">
        <v>194</v>
      </c>
      <c r="L55" s="4">
        <f t="shared" si="8"/>
        <v>139.9</v>
      </c>
    </row>
    <row r="56" spans="1:12">
      <c r="A56">
        <v>540</v>
      </c>
      <c r="B56">
        <v>129</v>
      </c>
      <c r="C56">
        <v>126</v>
      </c>
      <c r="D56">
        <v>122</v>
      </c>
      <c r="E56">
        <v>220</v>
      </c>
      <c r="F56">
        <v>128</v>
      </c>
      <c r="G56">
        <v>122</v>
      </c>
      <c r="H56">
        <v>41</v>
      </c>
      <c r="I56">
        <v>138</v>
      </c>
      <c r="J56">
        <v>219</v>
      </c>
      <c r="K56">
        <v>115</v>
      </c>
      <c r="L56" s="4">
        <f t="shared" si="8"/>
        <v>136</v>
      </c>
    </row>
    <row r="57" spans="1:12">
      <c r="A57">
        <v>600</v>
      </c>
      <c r="B57">
        <v>245</v>
      </c>
      <c r="C57">
        <v>155</v>
      </c>
      <c r="D57">
        <v>247</v>
      </c>
      <c r="E57">
        <v>246</v>
      </c>
      <c r="F57">
        <v>246</v>
      </c>
      <c r="G57">
        <v>245</v>
      </c>
      <c r="H57">
        <v>136</v>
      </c>
      <c r="I57">
        <v>245</v>
      </c>
      <c r="J57">
        <v>202</v>
      </c>
      <c r="K57">
        <v>163</v>
      </c>
      <c r="L57" s="4">
        <f t="shared" si="8"/>
        <v>213</v>
      </c>
    </row>
    <row r="59" spans="1:12">
      <c r="A59" s="1" t="s">
        <v>29</v>
      </c>
      <c r="B59" s="1" t="s">
        <v>30</v>
      </c>
    </row>
    <row r="60" spans="1:12">
      <c r="A60">
        <v>60</v>
      </c>
      <c r="B60" s="2">
        <v>0.6173</v>
      </c>
      <c r="C60" s="2">
        <v>0.6173</v>
      </c>
      <c r="D60" s="2">
        <v>0.6173</v>
      </c>
      <c r="E60" s="2">
        <v>0.6173</v>
      </c>
      <c r="F60" s="2">
        <v>0.6173</v>
      </c>
      <c r="G60" s="2">
        <v>0.6173</v>
      </c>
      <c r="H60" s="2">
        <v>0.6173</v>
      </c>
      <c r="I60" s="2">
        <v>0.6173</v>
      </c>
      <c r="J60" s="2">
        <v>0.6173</v>
      </c>
      <c r="K60" s="2">
        <v>0.6173</v>
      </c>
      <c r="L60" s="5">
        <f>AVERAGE(B60:K60)</f>
        <v>0.6173</v>
      </c>
    </row>
    <row r="61" spans="1:12">
      <c r="A61">
        <v>120</v>
      </c>
      <c r="B61" s="2">
        <v>0.618</v>
      </c>
      <c r="C61" s="2">
        <v>0.618</v>
      </c>
      <c r="D61" s="2">
        <v>0.601</v>
      </c>
      <c r="E61" s="2">
        <v>0.618</v>
      </c>
      <c r="F61" s="2">
        <v>0.618</v>
      </c>
      <c r="G61" s="2">
        <v>0.618</v>
      </c>
      <c r="H61" s="2">
        <v>0.618</v>
      </c>
      <c r="I61" s="2">
        <v>0.618</v>
      </c>
      <c r="J61" s="2">
        <v>0.618</v>
      </c>
      <c r="K61" s="2">
        <v>0.618</v>
      </c>
      <c r="L61" s="5">
        <f t="shared" ref="L61:L69" si="9">AVERAGE(B61:K61)</f>
        <v>0.6163</v>
      </c>
    </row>
    <row r="62" spans="1:12">
      <c r="A62">
        <v>180</v>
      </c>
      <c r="B62" s="2">
        <v>0.618</v>
      </c>
      <c r="C62" s="2">
        <v>0.618</v>
      </c>
      <c r="D62" s="2">
        <v>0.618</v>
      </c>
      <c r="E62" s="2">
        <v>0.618</v>
      </c>
      <c r="F62" s="2">
        <v>0.618</v>
      </c>
      <c r="G62" s="2">
        <v>0.618</v>
      </c>
      <c r="H62" s="2">
        <v>0.618</v>
      </c>
      <c r="I62" s="2">
        <v>0.618</v>
      </c>
      <c r="J62" s="2">
        <v>0.618</v>
      </c>
      <c r="K62" s="2">
        <v>0.618</v>
      </c>
      <c r="L62" s="5">
        <f t="shared" si="9"/>
        <v>0.618</v>
      </c>
    </row>
    <row r="63" spans="1:12">
      <c r="A63">
        <v>240</v>
      </c>
      <c r="B63" s="2">
        <v>0.6482</v>
      </c>
      <c r="C63" s="2">
        <v>0.6482</v>
      </c>
      <c r="D63" s="2">
        <v>0.6105</v>
      </c>
      <c r="E63" s="2">
        <v>0.6485</v>
      </c>
      <c r="F63" s="2">
        <v>0.6482</v>
      </c>
      <c r="G63" s="2">
        <v>0.6482</v>
      </c>
      <c r="H63" s="2">
        <v>0.6482</v>
      </c>
      <c r="I63" s="2">
        <v>0.6482</v>
      </c>
      <c r="J63" s="2">
        <v>0.6482</v>
      </c>
      <c r="K63" s="2">
        <v>0.6482</v>
      </c>
      <c r="L63" s="5">
        <f t="shared" si="9"/>
        <v>0.64446</v>
      </c>
    </row>
    <row r="64" spans="1:12">
      <c r="A64">
        <v>300</v>
      </c>
      <c r="B64" s="2">
        <v>0.6545</v>
      </c>
      <c r="C64" s="2">
        <v>0.6482</v>
      </c>
      <c r="D64" s="2">
        <v>0.6577</v>
      </c>
      <c r="E64" s="2">
        <v>0.6545</v>
      </c>
      <c r="F64" s="2">
        <v>0.6545</v>
      </c>
      <c r="G64" s="2">
        <v>0.6545</v>
      </c>
      <c r="H64" s="2">
        <v>0.6577</v>
      </c>
      <c r="I64" s="2">
        <v>0.6895</v>
      </c>
      <c r="J64" s="2">
        <v>0.6545</v>
      </c>
      <c r="K64" s="2">
        <v>0.6545</v>
      </c>
      <c r="L64" s="5">
        <f t="shared" si="9"/>
        <v>0.65801</v>
      </c>
    </row>
    <row r="65" spans="1:12">
      <c r="A65">
        <v>360</v>
      </c>
      <c r="B65" s="2">
        <v>0.6577</v>
      </c>
      <c r="C65" s="2">
        <v>0.6577</v>
      </c>
      <c r="D65" s="2">
        <v>0.6577</v>
      </c>
      <c r="E65" s="2">
        <v>0.6577</v>
      </c>
      <c r="F65" s="2">
        <v>0.6577</v>
      </c>
      <c r="G65" s="2">
        <v>0.6577</v>
      </c>
      <c r="H65" s="2">
        <v>0.6577</v>
      </c>
      <c r="I65" s="2">
        <v>0.6577</v>
      </c>
      <c r="J65" s="2">
        <v>0.6577</v>
      </c>
      <c r="K65" s="2">
        <v>0.6577</v>
      </c>
      <c r="L65" s="5">
        <f t="shared" si="9"/>
        <v>0.6577</v>
      </c>
    </row>
    <row r="66" spans="1:12">
      <c r="A66">
        <v>420</v>
      </c>
      <c r="B66" s="2">
        <v>0.6761</v>
      </c>
      <c r="C66" s="2">
        <v>0.7003</v>
      </c>
      <c r="D66" s="2">
        <v>0.7003</v>
      </c>
      <c r="E66" s="2">
        <v>0.7003</v>
      </c>
      <c r="F66" s="2">
        <v>0.6761</v>
      </c>
      <c r="G66" s="2">
        <v>0.7003</v>
      </c>
      <c r="H66" s="2">
        <v>0.7303</v>
      </c>
      <c r="I66" s="2">
        <v>0.7003</v>
      </c>
      <c r="J66" s="2">
        <v>0.7003</v>
      </c>
      <c r="K66" s="2">
        <v>0.7003</v>
      </c>
      <c r="L66" s="5">
        <f t="shared" si="9"/>
        <v>0.69846</v>
      </c>
    </row>
    <row r="67" spans="1:12">
      <c r="A67">
        <v>480</v>
      </c>
      <c r="B67" s="2">
        <v>0.6781</v>
      </c>
      <c r="C67" s="2">
        <v>0.6781</v>
      </c>
      <c r="D67" s="2">
        <v>0.6781</v>
      </c>
      <c r="E67" s="2">
        <v>0.6781</v>
      </c>
      <c r="F67" s="2">
        <v>0.6781</v>
      </c>
      <c r="G67" s="2">
        <v>0.6781</v>
      </c>
      <c r="H67" s="2">
        <v>0.6781</v>
      </c>
      <c r="I67" s="2">
        <v>0.6781</v>
      </c>
      <c r="J67" s="2">
        <v>0.6781</v>
      </c>
      <c r="K67" s="2">
        <v>0.6781</v>
      </c>
      <c r="L67" s="5">
        <f t="shared" si="9"/>
        <v>0.6781</v>
      </c>
    </row>
    <row r="68" spans="1:12">
      <c r="A68">
        <v>540</v>
      </c>
      <c r="B68" s="2">
        <v>0.6781</v>
      </c>
      <c r="C68" s="2">
        <v>0.6781</v>
      </c>
      <c r="D68" s="2">
        <v>0.6781</v>
      </c>
      <c r="E68" s="2">
        <v>0.6781</v>
      </c>
      <c r="F68" s="2">
        <v>0.6781</v>
      </c>
      <c r="G68" s="2">
        <v>0.6781</v>
      </c>
      <c r="H68" s="2">
        <v>0.6781</v>
      </c>
      <c r="I68" s="2">
        <v>0.6781</v>
      </c>
      <c r="J68" s="2">
        <v>0.6781</v>
      </c>
      <c r="K68" s="2">
        <v>0.6781</v>
      </c>
      <c r="L68" s="5">
        <f t="shared" si="9"/>
        <v>0.6781</v>
      </c>
    </row>
    <row r="69" spans="1:12">
      <c r="A69">
        <v>600</v>
      </c>
      <c r="B69" s="2">
        <v>0.6781</v>
      </c>
      <c r="C69" s="2">
        <v>0.6781</v>
      </c>
      <c r="D69" s="2">
        <v>0.6781</v>
      </c>
      <c r="E69" s="2">
        <v>0.6781</v>
      </c>
      <c r="F69" s="2">
        <v>0.6781</v>
      </c>
      <c r="G69" s="2">
        <v>0.6766</v>
      </c>
      <c r="H69" s="2">
        <v>0.6785</v>
      </c>
      <c r="I69" s="2">
        <v>0.6781</v>
      </c>
      <c r="J69" s="2">
        <v>0.6781</v>
      </c>
      <c r="K69" s="2">
        <v>0.6781</v>
      </c>
      <c r="L69" s="5">
        <f t="shared" si="9"/>
        <v>0.67799</v>
      </c>
    </row>
    <row r="71" spans="1:12">
      <c r="A71" s="1" t="s">
        <v>29</v>
      </c>
      <c r="B71" s="1" t="s">
        <v>31</v>
      </c>
    </row>
    <row r="72" spans="1:12">
      <c r="A72">
        <v>60</v>
      </c>
      <c r="B72" s="3">
        <v>0.2</v>
      </c>
      <c r="C72" s="3">
        <v>0.2</v>
      </c>
      <c r="D72" s="3">
        <v>0.2</v>
      </c>
      <c r="E72" s="3">
        <v>0.2</v>
      </c>
      <c r="F72" s="3">
        <v>0.2</v>
      </c>
      <c r="G72" s="3">
        <v>0.2</v>
      </c>
      <c r="H72" s="3">
        <v>0.2</v>
      </c>
      <c r="I72" s="3">
        <v>0.2</v>
      </c>
      <c r="J72" s="3">
        <v>0.2</v>
      </c>
      <c r="K72" s="3">
        <v>0.2</v>
      </c>
      <c r="L72" s="5">
        <f>AVERAGE(B72:K72)</f>
        <v>0.2</v>
      </c>
    </row>
    <row r="73" spans="1:12">
      <c r="A73">
        <v>120</v>
      </c>
      <c r="B73" s="3">
        <v>0.2</v>
      </c>
      <c r="C73" s="3">
        <v>0.2</v>
      </c>
      <c r="D73" s="3">
        <v>0.2</v>
      </c>
      <c r="E73" s="3">
        <v>0.2</v>
      </c>
      <c r="F73" s="3">
        <v>0.2</v>
      </c>
      <c r="G73" s="3">
        <v>0.2</v>
      </c>
      <c r="H73" s="3">
        <v>0.2</v>
      </c>
      <c r="I73" s="3">
        <v>0.2</v>
      </c>
      <c r="J73" s="3">
        <v>0.2</v>
      </c>
      <c r="K73" s="3">
        <v>0.2</v>
      </c>
      <c r="L73" s="5">
        <f t="shared" ref="L73:L81" si="10">AVERAGE(B73:K73)</f>
        <v>0.2</v>
      </c>
    </row>
    <row r="74" spans="1:12">
      <c r="A74">
        <v>180</v>
      </c>
      <c r="B74" s="3">
        <v>0.2</v>
      </c>
      <c r="C74" s="3">
        <v>0.2</v>
      </c>
      <c r="D74" s="3">
        <v>0.2</v>
      </c>
      <c r="E74" s="3">
        <v>0.2</v>
      </c>
      <c r="F74" s="3">
        <v>0.2</v>
      </c>
      <c r="G74" s="3">
        <v>0.2</v>
      </c>
      <c r="H74" s="3">
        <v>0.2</v>
      </c>
      <c r="I74" s="3">
        <v>0.2</v>
      </c>
      <c r="J74" s="3">
        <v>0.2</v>
      </c>
      <c r="K74" s="3">
        <v>0.2</v>
      </c>
      <c r="L74" s="5">
        <f t="shared" si="10"/>
        <v>0.2</v>
      </c>
    </row>
    <row r="75" spans="1:12">
      <c r="A75">
        <v>240</v>
      </c>
      <c r="B75" s="3">
        <v>0.2</v>
      </c>
      <c r="C75" s="3">
        <v>0.2</v>
      </c>
      <c r="D75" s="3">
        <v>0.2</v>
      </c>
      <c r="E75" s="3">
        <v>0.2</v>
      </c>
      <c r="F75" s="3">
        <v>0.2</v>
      </c>
      <c r="G75" s="3">
        <v>0.2</v>
      </c>
      <c r="H75" s="3">
        <v>0.2</v>
      </c>
      <c r="I75" s="3">
        <v>0.2</v>
      </c>
      <c r="J75" s="3">
        <v>0.2</v>
      </c>
      <c r="K75" s="3">
        <v>0.2</v>
      </c>
      <c r="L75" s="5">
        <f t="shared" si="10"/>
        <v>0.2</v>
      </c>
    </row>
    <row r="76" spans="1:12">
      <c r="A76">
        <v>300</v>
      </c>
      <c r="B76" s="3">
        <v>0.2</v>
      </c>
      <c r="C76" s="3">
        <v>0.2</v>
      </c>
      <c r="D76" s="3">
        <v>0.3</v>
      </c>
      <c r="E76" s="3">
        <v>0.3</v>
      </c>
      <c r="F76" s="3">
        <v>0.2</v>
      </c>
      <c r="G76" s="3">
        <v>0.2</v>
      </c>
      <c r="H76" s="3">
        <v>0.2</v>
      </c>
      <c r="I76" s="3">
        <v>0.2</v>
      </c>
      <c r="J76" s="3">
        <v>0.2</v>
      </c>
      <c r="K76" s="3">
        <v>0.2</v>
      </c>
      <c r="L76" s="5">
        <f t="shared" si="10"/>
        <v>0.22</v>
      </c>
    </row>
    <row r="77" spans="1:12">
      <c r="A77">
        <v>360</v>
      </c>
      <c r="B77" s="3">
        <v>0.4</v>
      </c>
      <c r="C77" s="3">
        <v>0.4</v>
      </c>
      <c r="D77" s="3">
        <v>0.4</v>
      </c>
      <c r="E77" s="3">
        <v>0.4</v>
      </c>
      <c r="F77" s="3">
        <v>0.4</v>
      </c>
      <c r="G77" s="3">
        <v>0.4</v>
      </c>
      <c r="H77" s="3">
        <v>0.4</v>
      </c>
      <c r="I77" s="3">
        <v>0.4</v>
      </c>
      <c r="J77" s="3">
        <v>0.4</v>
      </c>
      <c r="K77" s="3">
        <v>0.4</v>
      </c>
      <c r="L77" s="5">
        <f t="shared" si="10"/>
        <v>0.4</v>
      </c>
    </row>
    <row r="78" spans="1:12">
      <c r="A78">
        <v>420</v>
      </c>
      <c r="B78" s="3">
        <v>0.7</v>
      </c>
      <c r="C78" s="3">
        <v>0.6</v>
      </c>
      <c r="D78" s="3">
        <v>0.6</v>
      </c>
      <c r="E78" s="3">
        <v>0.6</v>
      </c>
      <c r="F78" s="3">
        <v>0.7</v>
      </c>
      <c r="G78" s="3">
        <v>0.6</v>
      </c>
      <c r="H78" s="3">
        <v>0.6</v>
      </c>
      <c r="I78" s="3">
        <v>0.6</v>
      </c>
      <c r="J78" s="3">
        <v>0.6</v>
      </c>
      <c r="K78" s="3">
        <v>0.6</v>
      </c>
      <c r="L78" s="5">
        <f t="shared" si="10"/>
        <v>0.62</v>
      </c>
    </row>
    <row r="79" spans="1:12">
      <c r="A79">
        <v>480</v>
      </c>
      <c r="B79" s="3">
        <v>0.8</v>
      </c>
      <c r="C79" s="3">
        <v>0.8</v>
      </c>
      <c r="D79" s="3">
        <v>0.8</v>
      </c>
      <c r="E79" s="3">
        <v>0.8</v>
      </c>
      <c r="F79" s="3">
        <v>0.8</v>
      </c>
      <c r="G79" s="3">
        <v>0.8</v>
      </c>
      <c r="H79" s="3">
        <v>0.8</v>
      </c>
      <c r="I79" s="3">
        <v>0.8</v>
      </c>
      <c r="J79" s="3">
        <v>0.8</v>
      </c>
      <c r="K79" s="3">
        <v>0.8</v>
      </c>
      <c r="L79" s="5">
        <f t="shared" si="10"/>
        <v>0.8</v>
      </c>
    </row>
    <row r="80" spans="1:12">
      <c r="A80">
        <v>540</v>
      </c>
      <c r="B80" s="3">
        <v>0.8</v>
      </c>
      <c r="C80" s="3">
        <v>0.8</v>
      </c>
      <c r="D80" s="3">
        <v>0.8</v>
      </c>
      <c r="E80" s="3">
        <v>0.8</v>
      </c>
      <c r="F80" s="3">
        <v>0.8</v>
      </c>
      <c r="G80" s="3">
        <v>0.8</v>
      </c>
      <c r="H80" s="3">
        <v>0.8</v>
      </c>
      <c r="I80" s="3">
        <v>0.8</v>
      </c>
      <c r="J80" s="3">
        <v>0.8</v>
      </c>
      <c r="K80" s="3">
        <v>0.8</v>
      </c>
      <c r="L80" s="5">
        <f t="shared" si="10"/>
        <v>0.8</v>
      </c>
    </row>
    <row r="81" spans="1:12">
      <c r="A81">
        <v>600</v>
      </c>
      <c r="B81" s="3">
        <v>0.8</v>
      </c>
      <c r="C81" s="3">
        <v>0.8</v>
      </c>
      <c r="D81" s="3">
        <v>0.8</v>
      </c>
      <c r="E81" s="3">
        <v>0.8</v>
      </c>
      <c r="F81" s="3">
        <v>0.8</v>
      </c>
      <c r="G81" s="3">
        <v>0.8</v>
      </c>
      <c r="H81" s="3">
        <v>0.8</v>
      </c>
      <c r="I81" s="3">
        <v>0.8</v>
      </c>
      <c r="J81" s="3">
        <v>0.8</v>
      </c>
      <c r="K81" s="3">
        <v>0.8</v>
      </c>
      <c r="L81" s="5">
        <f t="shared" si="10"/>
        <v>0.8</v>
      </c>
    </row>
    <row r="83" spans="1:12">
      <c r="A83" s="1" t="s">
        <v>29</v>
      </c>
      <c r="B83" s="1" t="s">
        <v>32</v>
      </c>
    </row>
    <row r="84" spans="1:12">
      <c r="A84">
        <v>60</v>
      </c>
      <c r="B84">
        <v>5</v>
      </c>
      <c r="C84">
        <v>5</v>
      </c>
      <c r="D84">
        <v>5</v>
      </c>
      <c r="E84">
        <v>5</v>
      </c>
      <c r="F84">
        <v>5</v>
      </c>
      <c r="G84">
        <v>5</v>
      </c>
      <c r="H84">
        <v>5</v>
      </c>
      <c r="I84">
        <v>5</v>
      </c>
      <c r="J84">
        <v>5</v>
      </c>
      <c r="K84">
        <v>5</v>
      </c>
      <c r="L84" s="4">
        <f>AVERAGE(B84:K84)</f>
        <v>5</v>
      </c>
    </row>
    <row r="85" spans="1:12">
      <c r="A85">
        <v>120</v>
      </c>
      <c r="B85">
        <v>16</v>
      </c>
      <c r="C85">
        <v>16</v>
      </c>
      <c r="D85">
        <v>17</v>
      </c>
      <c r="E85">
        <v>17</v>
      </c>
      <c r="F85">
        <v>17</v>
      </c>
      <c r="G85">
        <v>16</v>
      </c>
      <c r="H85">
        <v>16</v>
      </c>
      <c r="I85">
        <v>17</v>
      </c>
      <c r="J85">
        <v>16</v>
      </c>
      <c r="K85">
        <v>16</v>
      </c>
      <c r="L85" s="4">
        <f t="shared" ref="L85:L93" si="11">AVERAGE(B85:K85)</f>
        <v>16.4</v>
      </c>
    </row>
    <row r="86" spans="1:12">
      <c r="A86">
        <v>180</v>
      </c>
      <c r="B86">
        <v>27</v>
      </c>
      <c r="C86">
        <v>28</v>
      </c>
      <c r="D86">
        <v>28</v>
      </c>
      <c r="E86">
        <v>27</v>
      </c>
      <c r="F86">
        <v>28</v>
      </c>
      <c r="G86">
        <v>29</v>
      </c>
      <c r="H86">
        <v>28</v>
      </c>
      <c r="I86">
        <v>28</v>
      </c>
      <c r="J86">
        <v>28</v>
      </c>
      <c r="K86">
        <v>28</v>
      </c>
      <c r="L86" s="4">
        <f t="shared" si="11"/>
        <v>27.9</v>
      </c>
    </row>
    <row r="87" spans="1:12">
      <c r="A87">
        <v>240</v>
      </c>
      <c r="B87">
        <v>38</v>
      </c>
      <c r="C87">
        <v>38</v>
      </c>
      <c r="D87">
        <v>37</v>
      </c>
      <c r="E87">
        <v>36</v>
      </c>
      <c r="F87">
        <v>38</v>
      </c>
      <c r="G87">
        <v>37</v>
      </c>
      <c r="H87">
        <v>38</v>
      </c>
      <c r="I87">
        <v>37</v>
      </c>
      <c r="J87">
        <v>36</v>
      </c>
      <c r="K87">
        <v>38</v>
      </c>
      <c r="L87" s="4">
        <f t="shared" si="11"/>
        <v>37.3</v>
      </c>
    </row>
    <row r="88" spans="1:12">
      <c r="A88">
        <v>300</v>
      </c>
      <c r="B88">
        <v>45</v>
      </c>
      <c r="C88">
        <v>41</v>
      </c>
      <c r="D88">
        <v>46</v>
      </c>
      <c r="E88">
        <v>46</v>
      </c>
      <c r="F88">
        <v>43</v>
      </c>
      <c r="G88">
        <v>44</v>
      </c>
      <c r="H88">
        <v>43</v>
      </c>
      <c r="I88">
        <v>45</v>
      </c>
      <c r="J88">
        <v>43</v>
      </c>
      <c r="K88">
        <v>44</v>
      </c>
      <c r="L88" s="4">
        <f t="shared" si="11"/>
        <v>44</v>
      </c>
    </row>
    <row r="89" spans="1:12">
      <c r="A89">
        <v>360</v>
      </c>
      <c r="B89">
        <v>57</v>
      </c>
      <c r="C89">
        <v>54</v>
      </c>
      <c r="D89">
        <v>56</v>
      </c>
      <c r="E89">
        <v>55</v>
      </c>
      <c r="F89">
        <v>54</v>
      </c>
      <c r="G89">
        <v>54</v>
      </c>
      <c r="H89">
        <v>56</v>
      </c>
      <c r="I89">
        <v>56</v>
      </c>
      <c r="J89">
        <v>53</v>
      </c>
      <c r="K89">
        <v>54</v>
      </c>
      <c r="L89" s="4">
        <f t="shared" si="11"/>
        <v>54.9</v>
      </c>
    </row>
    <row r="90" spans="1:12">
      <c r="A90">
        <v>420</v>
      </c>
      <c r="B90">
        <v>68</v>
      </c>
      <c r="C90">
        <v>65</v>
      </c>
      <c r="D90">
        <v>67</v>
      </c>
      <c r="E90">
        <v>66</v>
      </c>
      <c r="F90">
        <v>68</v>
      </c>
      <c r="G90">
        <v>67</v>
      </c>
      <c r="H90">
        <v>64</v>
      </c>
      <c r="I90">
        <v>65</v>
      </c>
      <c r="J90">
        <v>66</v>
      </c>
      <c r="K90">
        <v>67</v>
      </c>
      <c r="L90" s="4">
        <f t="shared" si="11"/>
        <v>66.3</v>
      </c>
    </row>
    <row r="91" spans="1:12">
      <c r="A91">
        <v>480</v>
      </c>
      <c r="B91">
        <v>70</v>
      </c>
      <c r="C91">
        <v>70</v>
      </c>
      <c r="D91">
        <v>70</v>
      </c>
      <c r="E91">
        <v>70</v>
      </c>
      <c r="F91">
        <v>70</v>
      </c>
      <c r="G91">
        <v>70</v>
      </c>
      <c r="H91">
        <v>70</v>
      </c>
      <c r="I91">
        <v>70</v>
      </c>
      <c r="J91">
        <v>70</v>
      </c>
      <c r="K91">
        <v>70</v>
      </c>
      <c r="L91" s="4">
        <f t="shared" si="11"/>
        <v>70</v>
      </c>
    </row>
    <row r="92" spans="1:12">
      <c r="A92">
        <v>540</v>
      </c>
      <c r="B92">
        <v>70</v>
      </c>
      <c r="C92">
        <v>70</v>
      </c>
      <c r="D92">
        <v>70</v>
      </c>
      <c r="E92">
        <v>70</v>
      </c>
      <c r="F92">
        <v>70</v>
      </c>
      <c r="G92">
        <v>70</v>
      </c>
      <c r="H92">
        <v>70</v>
      </c>
      <c r="I92">
        <v>70</v>
      </c>
      <c r="J92">
        <v>70</v>
      </c>
      <c r="K92">
        <v>70</v>
      </c>
      <c r="L92" s="4">
        <f t="shared" si="11"/>
        <v>70</v>
      </c>
    </row>
    <row r="93" spans="1:12">
      <c r="A93">
        <v>600</v>
      </c>
      <c r="B93">
        <v>70</v>
      </c>
      <c r="C93">
        <v>70</v>
      </c>
      <c r="D93">
        <v>70</v>
      </c>
      <c r="E93">
        <v>70</v>
      </c>
      <c r="F93">
        <v>70</v>
      </c>
      <c r="G93">
        <v>67</v>
      </c>
      <c r="H93">
        <v>72</v>
      </c>
      <c r="I93">
        <v>70</v>
      </c>
      <c r="J93">
        <v>70</v>
      </c>
      <c r="K93">
        <v>70</v>
      </c>
      <c r="L93" s="4">
        <f t="shared" si="11"/>
        <v>69.9</v>
      </c>
    </row>
    <row r="94" spans="1:12">
      <c r="L94" s="4"/>
    </row>
    <row r="95" spans="1:12">
      <c r="A95" s="1" t="s">
        <v>29</v>
      </c>
      <c r="B95" s="1" t="s">
        <v>36</v>
      </c>
      <c r="C95" s="1"/>
      <c r="D95" s="1"/>
      <c r="L95" s="4"/>
    </row>
    <row r="96" spans="1:12">
      <c r="A96">
        <v>60</v>
      </c>
      <c r="B96" s="2">
        <v>0.5017</v>
      </c>
      <c r="C96" s="2">
        <v>0.5374</v>
      </c>
      <c r="D96" s="2">
        <v>0.5017</v>
      </c>
      <c r="E96" s="2">
        <v>0.5374</v>
      </c>
      <c r="F96" s="2">
        <v>0.5353</v>
      </c>
      <c r="G96" s="2">
        <v>0.5388</v>
      </c>
      <c r="H96" s="2">
        <v>0.5395</v>
      </c>
      <c r="I96" s="2">
        <v>0.5402</v>
      </c>
      <c r="J96" s="2">
        <v>0.5353</v>
      </c>
      <c r="K96" s="2">
        <v>0.5395</v>
      </c>
      <c r="L96" s="5">
        <f t="shared" ref="L94:L129" si="12">AVERAGE(B96:K96)</f>
        <v>0.53068</v>
      </c>
    </row>
    <row r="97" spans="1:12">
      <c r="A97">
        <v>120</v>
      </c>
      <c r="B97" s="2">
        <v>0.6173</v>
      </c>
      <c r="C97" s="2">
        <v>0.6173</v>
      </c>
      <c r="D97" s="2">
        <v>0.6166</v>
      </c>
      <c r="E97" s="2">
        <v>0.6173</v>
      </c>
      <c r="F97" s="2">
        <v>0.6149</v>
      </c>
      <c r="G97" s="2">
        <v>0.6173</v>
      </c>
      <c r="H97" s="2">
        <v>0.6173</v>
      </c>
      <c r="I97" s="2">
        <v>0.6173</v>
      </c>
      <c r="J97" s="2">
        <v>0.6173</v>
      </c>
      <c r="K97" s="2">
        <v>0.6173</v>
      </c>
      <c r="L97" s="5">
        <f t="shared" si="12"/>
        <v>0.61699</v>
      </c>
    </row>
    <row r="98" spans="1:12">
      <c r="A98">
        <v>180</v>
      </c>
      <c r="B98" s="2">
        <v>0.6482</v>
      </c>
      <c r="C98" s="2">
        <v>0.6482</v>
      </c>
      <c r="D98" s="2">
        <v>0.6482</v>
      </c>
      <c r="E98" s="2">
        <v>0.6482</v>
      </c>
      <c r="F98" s="2">
        <v>0.6475</v>
      </c>
      <c r="G98" s="2">
        <v>0.6482</v>
      </c>
      <c r="H98" s="2">
        <v>0.6482</v>
      </c>
      <c r="I98" s="2">
        <v>0.6482</v>
      </c>
      <c r="J98" s="2">
        <v>0.6482</v>
      </c>
      <c r="K98" s="2">
        <v>0.6482</v>
      </c>
      <c r="L98" s="5">
        <f t="shared" si="12"/>
        <v>0.64813</v>
      </c>
    </row>
    <row r="99" spans="1:12">
      <c r="A99">
        <v>240</v>
      </c>
      <c r="B99" s="2">
        <v>0.6482</v>
      </c>
      <c r="C99" s="2">
        <v>0.6482</v>
      </c>
      <c r="D99" s="2">
        <v>0.6482</v>
      </c>
      <c r="E99" s="2">
        <v>0.6482</v>
      </c>
      <c r="F99" s="2">
        <v>0.6482</v>
      </c>
      <c r="G99" s="2">
        <v>0.6482</v>
      </c>
      <c r="H99" s="2">
        <v>0.6482</v>
      </c>
      <c r="I99" s="2">
        <v>0.6482</v>
      </c>
      <c r="J99" s="2">
        <v>0.6482</v>
      </c>
      <c r="K99" s="2">
        <v>0.6482</v>
      </c>
      <c r="L99" s="5">
        <f t="shared" si="12"/>
        <v>0.6482</v>
      </c>
    </row>
    <row r="100" spans="1:12">
      <c r="A100">
        <v>300</v>
      </c>
      <c r="B100" s="2">
        <v>0.6482</v>
      </c>
      <c r="C100" s="2">
        <v>0.6482</v>
      </c>
      <c r="D100" s="2">
        <v>0.6482</v>
      </c>
      <c r="E100" s="2">
        <v>0.6482</v>
      </c>
      <c r="F100" s="2">
        <v>0.6482</v>
      </c>
      <c r="G100" s="2">
        <v>0.6482</v>
      </c>
      <c r="H100" s="2">
        <v>0.6482</v>
      </c>
      <c r="I100" s="2">
        <v>0.6482</v>
      </c>
      <c r="J100" s="2">
        <v>0.6482</v>
      </c>
      <c r="K100" s="2">
        <v>0.6482</v>
      </c>
      <c r="L100" s="5">
        <f t="shared" si="12"/>
        <v>0.6482</v>
      </c>
    </row>
    <row r="101" spans="1:12">
      <c r="A101">
        <v>360</v>
      </c>
      <c r="B101" s="2">
        <v>0.6586</v>
      </c>
      <c r="C101" s="2">
        <v>0.6586</v>
      </c>
      <c r="D101" s="2">
        <v>0.6586</v>
      </c>
      <c r="E101" s="2">
        <v>0.6586</v>
      </c>
      <c r="F101" s="2">
        <v>0.6586</v>
      </c>
      <c r="G101" s="2">
        <v>0.6586</v>
      </c>
      <c r="H101" s="2">
        <v>0.6586</v>
      </c>
      <c r="I101" s="2">
        <v>0.6586</v>
      </c>
      <c r="J101" s="2">
        <v>0.6586</v>
      </c>
      <c r="K101" s="2">
        <v>0.6586</v>
      </c>
      <c r="L101" s="5">
        <f t="shared" si="12"/>
        <v>0.6586</v>
      </c>
    </row>
    <row r="102" spans="1:12">
      <c r="A102">
        <v>420</v>
      </c>
      <c r="B102" s="2">
        <v>0.6586</v>
      </c>
      <c r="C102" s="2">
        <v>0.6586</v>
      </c>
      <c r="D102" s="2">
        <v>0.6586</v>
      </c>
      <c r="E102" s="2">
        <v>0.6586</v>
      </c>
      <c r="F102" s="2">
        <v>0.6586</v>
      </c>
      <c r="G102" s="2">
        <v>0.6586</v>
      </c>
      <c r="H102" s="2">
        <v>0.6586</v>
      </c>
      <c r="I102" s="2">
        <v>0.6586</v>
      </c>
      <c r="J102" s="2">
        <v>0.6586</v>
      </c>
      <c r="K102" s="2">
        <v>0.6586</v>
      </c>
      <c r="L102" s="5">
        <f t="shared" si="12"/>
        <v>0.6586</v>
      </c>
    </row>
    <row r="103" spans="1:12">
      <c r="A103">
        <v>480</v>
      </c>
      <c r="B103" s="2">
        <v>0.6586</v>
      </c>
      <c r="C103" s="2">
        <v>0.6586</v>
      </c>
      <c r="D103" s="2">
        <v>0.6586</v>
      </c>
      <c r="E103" s="2">
        <v>0.6586</v>
      </c>
      <c r="F103" s="2">
        <v>0.6586</v>
      </c>
      <c r="G103" s="2">
        <v>0.6586</v>
      </c>
      <c r="H103" s="2">
        <v>0.6586</v>
      </c>
      <c r="I103" s="2">
        <v>0.6586</v>
      </c>
      <c r="J103" s="2">
        <v>0.6586</v>
      </c>
      <c r="K103" s="2">
        <v>0.6586</v>
      </c>
      <c r="L103" s="5">
        <f t="shared" si="12"/>
        <v>0.6586</v>
      </c>
    </row>
    <row r="104" spans="1:12">
      <c r="A104">
        <v>540</v>
      </c>
      <c r="B104" s="2">
        <v>0.6586</v>
      </c>
      <c r="C104" s="2">
        <v>0.6586</v>
      </c>
      <c r="D104" s="2">
        <v>0.6586</v>
      </c>
      <c r="E104" s="2">
        <v>0.6586</v>
      </c>
      <c r="F104" s="2">
        <v>0.6586</v>
      </c>
      <c r="G104" s="2">
        <v>0.6586</v>
      </c>
      <c r="H104" s="2">
        <v>0.6586</v>
      </c>
      <c r="I104" s="2">
        <v>0.6586</v>
      </c>
      <c r="J104" s="2">
        <v>0.6586</v>
      </c>
      <c r="K104" s="2">
        <v>0.6586</v>
      </c>
      <c r="L104" s="5">
        <f t="shared" si="12"/>
        <v>0.6586</v>
      </c>
    </row>
    <row r="105" spans="1:12">
      <c r="A105">
        <v>600</v>
      </c>
      <c r="B105" s="2">
        <v>0.6586</v>
      </c>
      <c r="C105" s="2">
        <v>0.6586</v>
      </c>
      <c r="D105" s="2">
        <v>0.6586</v>
      </c>
      <c r="E105" s="2">
        <v>0.6586</v>
      </c>
      <c r="F105" s="2">
        <v>0.6586</v>
      </c>
      <c r="G105" s="2">
        <v>0.6586</v>
      </c>
      <c r="H105" s="2">
        <v>0.6586</v>
      </c>
      <c r="I105" s="2">
        <v>0.6586</v>
      </c>
      <c r="J105" s="2">
        <v>0.6586</v>
      </c>
      <c r="K105" s="2">
        <v>0.6586</v>
      </c>
      <c r="L105" s="5">
        <f t="shared" si="12"/>
        <v>0.6586</v>
      </c>
    </row>
    <row r="106" spans="1:12">
      <c r="L106" s="4"/>
    </row>
    <row r="107" spans="1:12">
      <c r="A107" s="1" t="s">
        <v>29</v>
      </c>
      <c r="B107" s="1" t="s">
        <v>37</v>
      </c>
      <c r="C107" s="1"/>
      <c r="L107" s="4"/>
    </row>
    <row r="108" spans="1:12">
      <c r="A108">
        <v>60</v>
      </c>
      <c r="B108" s="3">
        <v>0.2</v>
      </c>
      <c r="C108" s="3">
        <v>0.2</v>
      </c>
      <c r="D108" s="3">
        <v>0.2</v>
      </c>
      <c r="E108" s="3">
        <v>0.2</v>
      </c>
      <c r="F108" s="3">
        <v>0.2</v>
      </c>
      <c r="G108" s="3">
        <v>0.2</v>
      </c>
      <c r="H108" s="3">
        <v>0.2</v>
      </c>
      <c r="I108" s="3">
        <v>0.2</v>
      </c>
      <c r="J108" s="3">
        <v>0.2</v>
      </c>
      <c r="K108" s="3">
        <v>0.2</v>
      </c>
      <c r="L108" s="5">
        <f t="shared" si="12"/>
        <v>0.2</v>
      </c>
    </row>
    <row r="109" spans="1:12">
      <c r="A109">
        <v>120</v>
      </c>
      <c r="B109" s="3">
        <v>0.2</v>
      </c>
      <c r="C109" s="3">
        <v>0.2</v>
      </c>
      <c r="D109" s="3">
        <v>0.2</v>
      </c>
      <c r="E109" s="3">
        <v>0.2</v>
      </c>
      <c r="F109" s="3">
        <v>0.2</v>
      </c>
      <c r="G109" s="3">
        <v>0.2</v>
      </c>
      <c r="H109" s="3">
        <v>0.2</v>
      </c>
      <c r="I109" s="3">
        <v>0.2</v>
      </c>
      <c r="J109" s="3">
        <v>0.2</v>
      </c>
      <c r="K109" s="3">
        <v>0.2</v>
      </c>
      <c r="L109" s="5">
        <f t="shared" si="12"/>
        <v>0.2</v>
      </c>
    </row>
    <row r="110" spans="1:12">
      <c r="A110">
        <v>180</v>
      </c>
      <c r="B110" s="3">
        <v>0.2</v>
      </c>
      <c r="C110" s="3">
        <v>0.2</v>
      </c>
      <c r="D110" s="3">
        <v>0.2</v>
      </c>
      <c r="E110" s="3">
        <v>0.2</v>
      </c>
      <c r="F110" s="3">
        <v>0.2</v>
      </c>
      <c r="G110" s="3">
        <v>0.2</v>
      </c>
      <c r="H110" s="3">
        <v>0.2</v>
      </c>
      <c r="I110" s="3">
        <v>0.2</v>
      </c>
      <c r="J110" s="3">
        <v>0.2</v>
      </c>
      <c r="K110" s="3">
        <v>0.2</v>
      </c>
      <c r="L110" s="5">
        <f t="shared" si="12"/>
        <v>0.2</v>
      </c>
    </row>
    <row r="111" spans="1:12">
      <c r="A111">
        <v>240</v>
      </c>
      <c r="B111" s="3">
        <v>0.2</v>
      </c>
      <c r="C111" s="3">
        <v>0.2</v>
      </c>
      <c r="D111" s="3">
        <v>0.2</v>
      </c>
      <c r="E111" s="3">
        <v>0.2</v>
      </c>
      <c r="F111" s="3">
        <v>0.2</v>
      </c>
      <c r="G111" s="3">
        <v>0.2</v>
      </c>
      <c r="H111" s="3">
        <v>0.2</v>
      </c>
      <c r="I111" s="3">
        <v>0.2</v>
      </c>
      <c r="J111" s="3">
        <v>0.2</v>
      </c>
      <c r="K111" s="3">
        <v>0.2</v>
      </c>
      <c r="L111" s="5">
        <f t="shared" si="12"/>
        <v>0.2</v>
      </c>
    </row>
    <row r="112" spans="1:12">
      <c r="A112">
        <v>300</v>
      </c>
      <c r="B112" s="3">
        <v>0.2</v>
      </c>
      <c r="C112" s="3">
        <v>0.2</v>
      </c>
      <c r="D112" s="3">
        <v>0.2</v>
      </c>
      <c r="E112" s="3">
        <v>0.2</v>
      </c>
      <c r="F112" s="3">
        <v>0.2</v>
      </c>
      <c r="G112" s="3">
        <v>0.2</v>
      </c>
      <c r="H112" s="3">
        <v>0.2</v>
      </c>
      <c r="I112" s="3">
        <v>0.2</v>
      </c>
      <c r="J112" s="3">
        <v>0.2</v>
      </c>
      <c r="K112" s="3">
        <v>0.2</v>
      </c>
      <c r="L112" s="5">
        <f t="shared" si="12"/>
        <v>0.2</v>
      </c>
    </row>
    <row r="113" spans="1:12">
      <c r="A113">
        <v>360</v>
      </c>
      <c r="B113" s="3">
        <v>0.3</v>
      </c>
      <c r="C113" s="3">
        <v>0.3</v>
      </c>
      <c r="D113" s="3">
        <v>0.3</v>
      </c>
      <c r="E113" s="3">
        <v>0.3</v>
      </c>
      <c r="F113" s="3">
        <v>0.3</v>
      </c>
      <c r="G113" s="3">
        <v>0.3</v>
      </c>
      <c r="H113" s="3">
        <v>0.3</v>
      </c>
      <c r="I113" s="3">
        <v>0.3</v>
      </c>
      <c r="J113" s="3">
        <v>0.3</v>
      </c>
      <c r="K113" s="3">
        <v>0.3</v>
      </c>
      <c r="L113" s="5">
        <f t="shared" si="12"/>
        <v>0.3</v>
      </c>
    </row>
    <row r="114" spans="1:12">
      <c r="A114">
        <v>420</v>
      </c>
      <c r="B114" s="3">
        <v>0.3</v>
      </c>
      <c r="C114" s="3">
        <v>0.3</v>
      </c>
      <c r="D114" s="3">
        <v>0.3</v>
      </c>
      <c r="E114" s="3">
        <v>0.3</v>
      </c>
      <c r="F114" s="3">
        <v>0.3</v>
      </c>
      <c r="G114" s="3">
        <v>0.3</v>
      </c>
      <c r="H114" s="3">
        <v>0.3</v>
      </c>
      <c r="I114" s="3">
        <v>0.3</v>
      </c>
      <c r="J114" s="3">
        <v>0.3</v>
      </c>
      <c r="K114" s="3">
        <v>0.3</v>
      </c>
      <c r="L114" s="5">
        <f t="shared" si="12"/>
        <v>0.3</v>
      </c>
    </row>
    <row r="115" spans="1:12">
      <c r="A115">
        <v>480</v>
      </c>
      <c r="B115" s="3">
        <v>0.3</v>
      </c>
      <c r="C115" s="3">
        <v>0.3</v>
      </c>
      <c r="D115" s="3">
        <v>0.3</v>
      </c>
      <c r="E115" s="3">
        <v>0.3</v>
      </c>
      <c r="F115" s="3">
        <v>0.3</v>
      </c>
      <c r="G115" s="3">
        <v>0.3</v>
      </c>
      <c r="H115" s="3">
        <v>0.3</v>
      </c>
      <c r="I115" s="3">
        <v>0.3</v>
      </c>
      <c r="J115" s="3">
        <v>0.3</v>
      </c>
      <c r="K115" s="3">
        <v>0.3</v>
      </c>
      <c r="L115" s="5">
        <f t="shared" si="12"/>
        <v>0.3</v>
      </c>
    </row>
    <row r="116" spans="1:12">
      <c r="A116">
        <v>540</v>
      </c>
      <c r="B116" s="3">
        <v>0.3</v>
      </c>
      <c r="C116" s="3">
        <v>0.3</v>
      </c>
      <c r="D116" s="3">
        <v>0.3</v>
      </c>
      <c r="E116" s="3">
        <v>0.3</v>
      </c>
      <c r="F116" s="3">
        <v>0.3</v>
      </c>
      <c r="G116" s="3">
        <v>0.3</v>
      </c>
      <c r="H116" s="3">
        <v>0.3</v>
      </c>
      <c r="I116" s="3">
        <v>0.3</v>
      </c>
      <c r="J116" s="3">
        <v>0.3</v>
      </c>
      <c r="K116" s="3">
        <v>0.3</v>
      </c>
      <c r="L116" s="5">
        <f t="shared" si="12"/>
        <v>0.3</v>
      </c>
    </row>
    <row r="117" spans="1:12">
      <c r="A117">
        <v>600</v>
      </c>
      <c r="B117" s="3">
        <v>0.3</v>
      </c>
      <c r="C117" s="3">
        <v>0.3</v>
      </c>
      <c r="D117" s="3">
        <v>0.3</v>
      </c>
      <c r="E117" s="3">
        <v>0.3</v>
      </c>
      <c r="F117" s="3">
        <v>0.3</v>
      </c>
      <c r="G117" s="3">
        <v>0.3</v>
      </c>
      <c r="H117" s="3">
        <v>0.3</v>
      </c>
      <c r="I117" s="3">
        <v>0.3</v>
      </c>
      <c r="J117" s="3">
        <v>0.3</v>
      </c>
      <c r="K117" s="3">
        <v>0.3</v>
      </c>
      <c r="L117" s="5">
        <f t="shared" si="12"/>
        <v>0.3</v>
      </c>
    </row>
    <row r="118" spans="1:12">
      <c r="L118" s="4"/>
    </row>
    <row r="119" spans="1:12">
      <c r="A119" s="1" t="s">
        <v>29</v>
      </c>
      <c r="B119" s="1" t="s">
        <v>38</v>
      </c>
      <c r="L119" s="4"/>
    </row>
    <row r="120" spans="1:12">
      <c r="A120">
        <v>60</v>
      </c>
      <c r="B120">
        <v>4</v>
      </c>
      <c r="C120">
        <v>4</v>
      </c>
      <c r="D120">
        <v>4</v>
      </c>
      <c r="E120">
        <v>4</v>
      </c>
      <c r="F120">
        <v>4</v>
      </c>
      <c r="G120">
        <v>4</v>
      </c>
      <c r="H120">
        <v>4</v>
      </c>
      <c r="I120">
        <v>4</v>
      </c>
      <c r="J120">
        <v>4</v>
      </c>
      <c r="K120">
        <v>4</v>
      </c>
      <c r="L120" s="4">
        <f t="shared" si="12"/>
        <v>4</v>
      </c>
    </row>
    <row r="121" spans="1:12">
      <c r="A121">
        <v>120</v>
      </c>
      <c r="B121">
        <v>8</v>
      </c>
      <c r="C121">
        <v>7</v>
      </c>
      <c r="D121">
        <v>8</v>
      </c>
      <c r="E121">
        <v>8</v>
      </c>
      <c r="F121">
        <v>8</v>
      </c>
      <c r="G121">
        <v>8</v>
      </c>
      <c r="H121">
        <v>9</v>
      </c>
      <c r="I121">
        <v>9</v>
      </c>
      <c r="J121">
        <v>9</v>
      </c>
      <c r="K121">
        <v>8</v>
      </c>
      <c r="L121" s="4">
        <f t="shared" si="12"/>
        <v>8.2</v>
      </c>
    </row>
    <row r="122" spans="1:12">
      <c r="A122">
        <v>180</v>
      </c>
      <c r="B122">
        <v>13</v>
      </c>
      <c r="C122">
        <v>13</v>
      </c>
      <c r="D122">
        <v>13</v>
      </c>
      <c r="E122">
        <v>13</v>
      </c>
      <c r="F122">
        <v>12</v>
      </c>
      <c r="G122">
        <v>13</v>
      </c>
      <c r="H122">
        <v>13</v>
      </c>
      <c r="I122">
        <v>13</v>
      </c>
      <c r="J122">
        <v>13</v>
      </c>
      <c r="K122">
        <v>13</v>
      </c>
      <c r="L122" s="4">
        <f t="shared" si="12"/>
        <v>12.9</v>
      </c>
    </row>
    <row r="123" spans="1:12">
      <c r="A123">
        <v>240</v>
      </c>
      <c r="B123">
        <v>17</v>
      </c>
      <c r="C123">
        <v>17</v>
      </c>
      <c r="D123">
        <v>17</v>
      </c>
      <c r="E123">
        <v>17</v>
      </c>
      <c r="F123">
        <v>17</v>
      </c>
      <c r="G123">
        <v>17</v>
      </c>
      <c r="H123">
        <v>17</v>
      </c>
      <c r="I123">
        <v>17</v>
      </c>
      <c r="J123">
        <v>17</v>
      </c>
      <c r="K123">
        <v>17</v>
      </c>
      <c r="L123" s="4">
        <f t="shared" si="12"/>
        <v>17</v>
      </c>
    </row>
    <row r="124" spans="1:12">
      <c r="A124">
        <v>300</v>
      </c>
      <c r="B124">
        <v>19</v>
      </c>
      <c r="C124">
        <v>19</v>
      </c>
      <c r="D124">
        <v>19</v>
      </c>
      <c r="E124">
        <v>19</v>
      </c>
      <c r="F124">
        <v>19</v>
      </c>
      <c r="G124">
        <v>19</v>
      </c>
      <c r="H124">
        <v>19</v>
      </c>
      <c r="I124">
        <v>19</v>
      </c>
      <c r="J124">
        <v>19</v>
      </c>
      <c r="K124">
        <v>19</v>
      </c>
      <c r="L124" s="4">
        <f t="shared" si="12"/>
        <v>19</v>
      </c>
    </row>
    <row r="125" spans="1:12">
      <c r="A125">
        <v>360</v>
      </c>
      <c r="B125">
        <v>24</v>
      </c>
      <c r="C125">
        <v>24</v>
      </c>
      <c r="D125">
        <v>24</v>
      </c>
      <c r="E125">
        <v>24</v>
      </c>
      <c r="F125">
        <v>24</v>
      </c>
      <c r="G125">
        <v>24</v>
      </c>
      <c r="H125">
        <v>24</v>
      </c>
      <c r="I125">
        <v>24</v>
      </c>
      <c r="J125">
        <v>24</v>
      </c>
      <c r="K125">
        <v>24</v>
      </c>
      <c r="L125" s="4">
        <f t="shared" si="12"/>
        <v>24</v>
      </c>
    </row>
    <row r="126" spans="1:12">
      <c r="A126">
        <v>420</v>
      </c>
      <c r="B126">
        <v>24</v>
      </c>
      <c r="C126">
        <v>24</v>
      </c>
      <c r="D126">
        <v>24</v>
      </c>
      <c r="E126">
        <v>24</v>
      </c>
      <c r="F126">
        <v>24</v>
      </c>
      <c r="G126">
        <v>24</v>
      </c>
      <c r="H126">
        <v>24</v>
      </c>
      <c r="I126">
        <v>24</v>
      </c>
      <c r="J126">
        <v>24</v>
      </c>
      <c r="K126">
        <v>24</v>
      </c>
      <c r="L126" s="4">
        <f t="shared" si="12"/>
        <v>24</v>
      </c>
    </row>
    <row r="127" spans="1:12">
      <c r="A127">
        <v>480</v>
      </c>
      <c r="B127">
        <v>24</v>
      </c>
      <c r="C127">
        <v>24</v>
      </c>
      <c r="D127">
        <v>24</v>
      </c>
      <c r="E127">
        <v>24</v>
      </c>
      <c r="F127">
        <v>24</v>
      </c>
      <c r="G127">
        <v>24</v>
      </c>
      <c r="H127">
        <v>24</v>
      </c>
      <c r="I127">
        <v>24</v>
      </c>
      <c r="J127">
        <v>24</v>
      </c>
      <c r="K127">
        <v>24</v>
      </c>
      <c r="L127" s="4">
        <f t="shared" si="12"/>
        <v>24</v>
      </c>
    </row>
    <row r="128" spans="1:12">
      <c r="A128">
        <v>540</v>
      </c>
      <c r="B128">
        <v>24</v>
      </c>
      <c r="C128">
        <v>24</v>
      </c>
      <c r="D128">
        <v>24</v>
      </c>
      <c r="E128">
        <v>24</v>
      </c>
      <c r="F128">
        <v>24</v>
      </c>
      <c r="G128">
        <v>24</v>
      </c>
      <c r="H128">
        <v>24</v>
      </c>
      <c r="I128">
        <v>24</v>
      </c>
      <c r="J128">
        <v>24</v>
      </c>
      <c r="K128">
        <v>24</v>
      </c>
      <c r="L128" s="4">
        <f t="shared" si="12"/>
        <v>24</v>
      </c>
    </row>
    <row r="129" spans="1:12">
      <c r="A129">
        <v>600</v>
      </c>
      <c r="B129">
        <v>24</v>
      </c>
      <c r="C129">
        <v>24</v>
      </c>
      <c r="D129">
        <v>24</v>
      </c>
      <c r="E129">
        <v>24</v>
      </c>
      <c r="F129">
        <v>24</v>
      </c>
      <c r="G129">
        <v>24</v>
      </c>
      <c r="H129">
        <v>24</v>
      </c>
      <c r="I129">
        <v>24</v>
      </c>
      <c r="J129">
        <v>24</v>
      </c>
      <c r="K129">
        <v>24</v>
      </c>
      <c r="L129" s="4">
        <f t="shared" si="12"/>
        <v>24</v>
      </c>
    </row>
    <row r="134" spans="1:12">
      <c r="A134" s="1" t="s">
        <v>39</v>
      </c>
    </row>
    <row r="135" spans="1:12">
      <c r="A135" s="1" t="s">
        <v>29</v>
      </c>
      <c r="B135" s="1" t="s">
        <v>30</v>
      </c>
      <c r="C135" s="1" t="s">
        <v>31</v>
      </c>
      <c r="D135" s="1" t="s">
        <v>32</v>
      </c>
      <c r="E135" s="1" t="s">
        <v>36</v>
      </c>
      <c r="F135" s="1" t="s">
        <v>37</v>
      </c>
      <c r="G135" s="1" t="s">
        <v>38</v>
      </c>
    </row>
    <row r="136" spans="1:12">
      <c r="A136">
        <v>60</v>
      </c>
      <c r="B136" s="2">
        <v>0.6173</v>
      </c>
      <c r="C136" s="3">
        <v>0.2</v>
      </c>
      <c r="D136" s="4">
        <v>5</v>
      </c>
      <c r="E136" s="5">
        <v>0.53068</v>
      </c>
      <c r="F136" s="5">
        <v>0.2</v>
      </c>
      <c r="G136" s="4">
        <v>4</v>
      </c>
    </row>
    <row r="137" spans="1:12">
      <c r="A137">
        <v>120</v>
      </c>
      <c r="B137" s="2">
        <v>0.6163</v>
      </c>
      <c r="C137" s="3">
        <v>0.2</v>
      </c>
      <c r="D137" s="4">
        <v>16.4</v>
      </c>
      <c r="E137" s="5">
        <v>0.61699</v>
      </c>
      <c r="F137" s="5">
        <v>0.2</v>
      </c>
      <c r="G137" s="4">
        <v>8.2</v>
      </c>
    </row>
    <row r="138" spans="1:12">
      <c r="A138">
        <v>180</v>
      </c>
      <c r="B138" s="2">
        <v>0.618</v>
      </c>
      <c r="C138" s="3">
        <v>0.2</v>
      </c>
      <c r="D138" s="4">
        <v>27.9</v>
      </c>
      <c r="E138" s="5">
        <v>0.64813</v>
      </c>
      <c r="F138" s="5">
        <v>0.2</v>
      </c>
      <c r="G138" s="4">
        <v>12.9</v>
      </c>
    </row>
    <row r="139" spans="1:12">
      <c r="A139">
        <v>240</v>
      </c>
      <c r="B139" s="2">
        <v>0.64446</v>
      </c>
      <c r="C139" s="3">
        <v>0.2</v>
      </c>
      <c r="D139" s="4">
        <v>37.3</v>
      </c>
      <c r="E139" s="5">
        <v>0.6482</v>
      </c>
      <c r="F139" s="5">
        <v>0.2</v>
      </c>
      <c r="G139" s="4">
        <v>17</v>
      </c>
    </row>
    <row r="140" spans="1:12">
      <c r="A140">
        <v>300</v>
      </c>
      <c r="B140" s="2">
        <v>0.65801</v>
      </c>
      <c r="C140" s="3">
        <v>0.22</v>
      </c>
      <c r="D140" s="4">
        <v>44</v>
      </c>
      <c r="E140" s="5">
        <v>0.6482</v>
      </c>
      <c r="F140" s="5">
        <v>0.2</v>
      </c>
      <c r="G140" s="4">
        <v>19</v>
      </c>
    </row>
    <row r="141" spans="1:12">
      <c r="A141">
        <v>360</v>
      </c>
      <c r="B141" s="2">
        <v>0.6577</v>
      </c>
      <c r="C141" s="3">
        <v>0.4</v>
      </c>
      <c r="D141" s="4">
        <v>54.9</v>
      </c>
      <c r="E141" s="5">
        <v>0.6586</v>
      </c>
      <c r="F141" s="5">
        <v>0.3</v>
      </c>
      <c r="G141" s="4">
        <v>24</v>
      </c>
    </row>
    <row r="142" spans="1:12">
      <c r="A142">
        <v>420</v>
      </c>
      <c r="B142" s="2">
        <v>0.69846</v>
      </c>
      <c r="C142" s="3">
        <v>0.62</v>
      </c>
      <c r="D142" s="4">
        <v>66.3</v>
      </c>
      <c r="E142" s="5">
        <v>0.6586</v>
      </c>
      <c r="F142" s="5">
        <v>0.3</v>
      </c>
      <c r="G142" s="4">
        <v>24</v>
      </c>
      <c r="H142" s="2"/>
      <c r="I142" s="2"/>
    </row>
    <row r="143" spans="1:12">
      <c r="A143">
        <v>480</v>
      </c>
      <c r="B143" s="2">
        <v>0.6781</v>
      </c>
      <c r="C143" s="3">
        <v>0.8</v>
      </c>
      <c r="D143" s="4">
        <v>70</v>
      </c>
      <c r="E143" s="5">
        <v>0.6586</v>
      </c>
      <c r="F143" s="5">
        <v>0.3</v>
      </c>
      <c r="G143" s="4">
        <v>24</v>
      </c>
      <c r="H143" s="2"/>
      <c r="I143" s="2"/>
    </row>
    <row r="144" spans="1:12">
      <c r="A144">
        <v>540</v>
      </c>
      <c r="B144" s="2">
        <v>0.6781</v>
      </c>
      <c r="C144" s="3">
        <v>0.8</v>
      </c>
      <c r="D144" s="4">
        <v>70</v>
      </c>
      <c r="E144" s="5">
        <v>0.6586</v>
      </c>
      <c r="F144" s="5">
        <v>0.3</v>
      </c>
      <c r="G144" s="4">
        <v>24</v>
      </c>
      <c r="H144" s="2"/>
      <c r="I144" s="2"/>
    </row>
    <row r="145" spans="1:9">
      <c r="A145">
        <v>600</v>
      </c>
      <c r="B145" s="2">
        <v>0.67799</v>
      </c>
      <c r="C145" s="3">
        <v>0.8</v>
      </c>
      <c r="D145" s="4">
        <v>69.9</v>
      </c>
      <c r="E145" s="5">
        <v>0.6586</v>
      </c>
      <c r="F145" s="5">
        <v>0.3</v>
      </c>
      <c r="G145" s="4">
        <v>24</v>
      </c>
      <c r="H145" s="2"/>
      <c r="I145" s="2"/>
    </row>
    <row r="147" spans="1:9">
      <c r="A147" s="1" t="s">
        <v>40</v>
      </c>
    </row>
    <row r="148" spans="1:9">
      <c r="A148" s="1" t="s">
        <v>29</v>
      </c>
      <c r="B148" s="1" t="s">
        <v>30</v>
      </c>
      <c r="C148" s="1" t="s">
        <v>31</v>
      </c>
      <c r="D148" s="1" t="s">
        <v>32</v>
      </c>
      <c r="E148" s="1" t="s">
        <v>36</v>
      </c>
      <c r="F148" s="1" t="s">
        <v>37</v>
      </c>
      <c r="G148" s="1" t="s">
        <v>38</v>
      </c>
    </row>
    <row r="149" spans="1:9">
      <c r="A149">
        <v>60</v>
      </c>
      <c r="B149" s="2">
        <v>0.6173</v>
      </c>
      <c r="C149" s="3">
        <v>0.2</v>
      </c>
      <c r="D149" s="4">
        <v>5</v>
      </c>
      <c r="E149" s="5">
        <v>0.59</v>
      </c>
      <c r="F149" s="5">
        <v>0.2</v>
      </c>
      <c r="G149" s="4">
        <v>5</v>
      </c>
    </row>
    <row r="150" spans="1:9">
      <c r="A150">
        <v>120</v>
      </c>
      <c r="B150" s="2">
        <v>0.6163</v>
      </c>
      <c r="C150" s="3">
        <v>0.2</v>
      </c>
      <c r="D150" s="4">
        <v>16.4</v>
      </c>
      <c r="E150" s="5">
        <v>0.65</v>
      </c>
      <c r="F150" s="5">
        <v>0.2</v>
      </c>
      <c r="G150" s="4">
        <v>16</v>
      </c>
    </row>
    <row r="151" spans="1:9">
      <c r="A151">
        <v>180</v>
      </c>
      <c r="B151" s="2">
        <v>0.618</v>
      </c>
      <c r="C151" s="3">
        <v>0.2</v>
      </c>
      <c r="D151" s="4">
        <v>27.9</v>
      </c>
      <c r="E151" s="5">
        <v>0.648</v>
      </c>
      <c r="F151" s="5">
        <v>0.2</v>
      </c>
      <c r="G151" s="4">
        <v>22</v>
      </c>
    </row>
    <row r="152" spans="1:9">
      <c r="A152">
        <v>240</v>
      </c>
      <c r="B152" s="2">
        <v>0.64446</v>
      </c>
      <c r="C152" s="3">
        <v>0.2</v>
      </c>
      <c r="D152" s="4">
        <v>37.3</v>
      </c>
      <c r="E152" s="5">
        <v>0.65</v>
      </c>
      <c r="F152" s="5">
        <v>0.2</v>
      </c>
      <c r="G152" s="4">
        <v>42</v>
      </c>
    </row>
    <row r="153" spans="1:9">
      <c r="A153">
        <v>300</v>
      </c>
      <c r="B153" s="2">
        <v>0.65801</v>
      </c>
      <c r="C153" s="3">
        <v>0.22</v>
      </c>
      <c r="D153" s="4">
        <v>44</v>
      </c>
      <c r="E153" s="5">
        <v>0.66</v>
      </c>
      <c r="F153" s="5">
        <v>0.2</v>
      </c>
      <c r="G153" s="4">
        <v>50</v>
      </c>
    </row>
    <row r="154" spans="1:9">
      <c r="A154">
        <v>360</v>
      </c>
      <c r="B154" s="2">
        <v>0.6577</v>
      </c>
      <c r="C154" s="3">
        <v>0.4</v>
      </c>
      <c r="D154" s="4">
        <v>54.9</v>
      </c>
      <c r="E154" s="5">
        <v>0.658</v>
      </c>
      <c r="F154" s="5">
        <v>0.2</v>
      </c>
      <c r="G154" s="4">
        <v>58</v>
      </c>
    </row>
    <row r="155" spans="1:9">
      <c r="A155">
        <v>420</v>
      </c>
      <c r="B155" s="2">
        <v>0.69846</v>
      </c>
      <c r="C155" s="3">
        <v>0.62</v>
      </c>
      <c r="D155" s="4">
        <v>66.3</v>
      </c>
      <c r="E155" s="5">
        <v>0.656</v>
      </c>
      <c r="F155" s="5">
        <v>0.2</v>
      </c>
      <c r="G155" s="4">
        <v>64</v>
      </c>
    </row>
    <row r="156" spans="1:9">
      <c r="A156">
        <v>480</v>
      </c>
      <c r="B156" s="2">
        <v>0.6781</v>
      </c>
      <c r="C156" s="3">
        <v>0.8</v>
      </c>
      <c r="D156" s="4">
        <v>70</v>
      </c>
      <c r="E156" s="5">
        <v>0.696</v>
      </c>
      <c r="F156" s="5">
        <v>0.5</v>
      </c>
      <c r="G156" s="4">
        <v>75</v>
      </c>
    </row>
    <row r="157" spans="1:9">
      <c r="A157">
        <v>540</v>
      </c>
      <c r="B157" s="2">
        <v>0.6781</v>
      </c>
      <c r="C157" s="3">
        <v>0.8</v>
      </c>
      <c r="D157" s="4">
        <v>70</v>
      </c>
      <c r="E157" s="5">
        <v>0.68</v>
      </c>
      <c r="F157" s="5">
        <v>0.7</v>
      </c>
      <c r="G157" s="4">
        <v>84</v>
      </c>
    </row>
    <row r="158" spans="1:9">
      <c r="A158">
        <v>600</v>
      </c>
      <c r="B158" s="2">
        <v>0.67799</v>
      </c>
      <c r="C158" s="3">
        <v>0.8</v>
      </c>
      <c r="D158" s="4">
        <v>69.9</v>
      </c>
      <c r="E158" s="5">
        <v>0.69</v>
      </c>
      <c r="F158" s="5">
        <v>0.7</v>
      </c>
      <c r="G158" s="4">
        <v>86</v>
      </c>
    </row>
    <row r="165" spans="1:12">
      <c r="A165" s="1" t="s">
        <v>29</v>
      </c>
      <c r="B165" s="1" t="s">
        <v>41</v>
      </c>
    </row>
    <row r="166" spans="1:12">
      <c r="A166">
        <v>420</v>
      </c>
      <c r="B166" s="2">
        <v>0.6577</v>
      </c>
      <c r="C166" s="2">
        <v>0.6577</v>
      </c>
      <c r="D166" s="2">
        <v>0.6895</v>
      </c>
      <c r="E166" s="2">
        <v>0.662</v>
      </c>
      <c r="F166" s="2">
        <v>0.6852</v>
      </c>
      <c r="G166" s="2">
        <v>0.6634</v>
      </c>
      <c r="H166" s="2">
        <v>0.6554</v>
      </c>
      <c r="I166" s="2">
        <v>0.6554</v>
      </c>
      <c r="J166" s="2">
        <v>0.6545</v>
      </c>
      <c r="K166" s="2">
        <v>0.6852</v>
      </c>
      <c r="L166" s="5">
        <f>AVERAGE(B166:K166)</f>
        <v>0.6666</v>
      </c>
    </row>
    <row r="167" spans="1:12">
      <c r="A167">
        <v>480</v>
      </c>
      <c r="B167" s="2">
        <v>0.6339</v>
      </c>
      <c r="C167" s="2">
        <v>0.6559</v>
      </c>
      <c r="D167" s="2">
        <v>0.6577</v>
      </c>
      <c r="E167" s="2">
        <v>0.6313</v>
      </c>
      <c r="F167" s="2">
        <v>0.6545</v>
      </c>
      <c r="G167" s="2">
        <v>0.6298</v>
      </c>
      <c r="H167" s="2">
        <v>0.6298</v>
      </c>
      <c r="I167" s="2">
        <v>0.6313</v>
      </c>
      <c r="J167" s="2">
        <v>0.6554</v>
      </c>
      <c r="K167" s="2">
        <v>0.6339</v>
      </c>
      <c r="L167" s="5">
        <f>AVERAGE(B167:K167)</f>
        <v>0.64135</v>
      </c>
    </row>
    <row r="168" spans="1:12">
      <c r="A168">
        <v>540</v>
      </c>
      <c r="B168" s="2">
        <v>0.6168</v>
      </c>
      <c r="C168" s="2">
        <v>0.6577</v>
      </c>
      <c r="D168" s="2">
        <v>0.6933</v>
      </c>
      <c r="E168" s="2">
        <v>0.6313</v>
      </c>
      <c r="F168" s="2">
        <v>0.6884</v>
      </c>
      <c r="G168" s="2">
        <v>0.6903</v>
      </c>
      <c r="H168" s="2">
        <v>0.6464</v>
      </c>
      <c r="I168" s="2">
        <v>0.6325</v>
      </c>
      <c r="J168" s="2">
        <v>0.6586</v>
      </c>
      <c r="K168" s="2">
        <v>0.6734</v>
      </c>
      <c r="L168" s="5">
        <f t="shared" ref="L167:L182" si="13">AVERAGE(B168:K168)</f>
        <v>0.65887</v>
      </c>
    </row>
    <row r="169" spans="1:12">
      <c r="A169">
        <v>600</v>
      </c>
      <c r="B169" s="2">
        <v>0.662</v>
      </c>
      <c r="C169" s="2">
        <v>0.662</v>
      </c>
      <c r="D169" s="2">
        <v>0.6769</v>
      </c>
      <c r="E169" s="2">
        <v>0.6586</v>
      </c>
      <c r="F169" s="2">
        <v>0.6668</v>
      </c>
      <c r="G169" s="2">
        <v>0.6903</v>
      </c>
      <c r="H169" s="2">
        <v>0.6586</v>
      </c>
      <c r="I169" s="2">
        <v>0.6883</v>
      </c>
      <c r="J169" s="2">
        <v>0.6672</v>
      </c>
      <c r="K169" s="2">
        <v>0.6623</v>
      </c>
      <c r="L169" s="5">
        <f t="shared" si="13"/>
        <v>0.6693</v>
      </c>
    </row>
    <row r="170" spans="1:12">
      <c r="B170" s="2"/>
    </row>
    <row r="171" spans="1:12">
      <c r="A171" s="1" t="s">
        <v>29</v>
      </c>
      <c r="B171" s="1" t="s">
        <v>42</v>
      </c>
    </row>
    <row r="172" spans="1:12">
      <c r="A172">
        <v>420</v>
      </c>
      <c r="B172" s="3">
        <v>0.4</v>
      </c>
      <c r="C172" s="3">
        <v>0.4</v>
      </c>
      <c r="D172" s="3">
        <v>0.3</v>
      </c>
      <c r="E172" s="3">
        <v>0.3</v>
      </c>
      <c r="F172" s="3">
        <v>0.5</v>
      </c>
      <c r="G172" s="3">
        <v>0.3</v>
      </c>
      <c r="H172" s="3">
        <v>0.4</v>
      </c>
      <c r="I172" s="3">
        <v>0.3</v>
      </c>
      <c r="J172" s="3">
        <v>0.3</v>
      </c>
      <c r="K172" s="3">
        <v>0.5</v>
      </c>
      <c r="L172" s="5">
        <f t="shared" si="13"/>
        <v>0.37</v>
      </c>
    </row>
    <row r="173" spans="1:12">
      <c r="A173">
        <v>480</v>
      </c>
      <c r="B173" s="3">
        <v>0.5</v>
      </c>
      <c r="C173" s="3">
        <v>0.3</v>
      </c>
      <c r="D173" s="3">
        <v>0.4</v>
      </c>
      <c r="E173" s="3">
        <v>0.4</v>
      </c>
      <c r="F173" s="3">
        <v>0.3</v>
      </c>
      <c r="G173" s="3">
        <v>0.4</v>
      </c>
      <c r="H173" s="3">
        <v>0.4</v>
      </c>
      <c r="I173" s="3">
        <v>0.4</v>
      </c>
      <c r="J173" s="3">
        <v>0.4</v>
      </c>
      <c r="K173" s="3">
        <v>0.5</v>
      </c>
      <c r="L173" s="5">
        <f t="shared" si="13"/>
        <v>0.4</v>
      </c>
    </row>
    <row r="174" spans="1:12">
      <c r="A174">
        <v>540</v>
      </c>
      <c r="B174" s="3">
        <v>0.5</v>
      </c>
      <c r="C174" s="3">
        <v>0.3</v>
      </c>
      <c r="D174" s="3">
        <v>0.5</v>
      </c>
      <c r="E174" s="3">
        <v>0.4</v>
      </c>
      <c r="F174" s="3">
        <v>0.5</v>
      </c>
      <c r="G174" s="3">
        <v>0.4</v>
      </c>
      <c r="H174" s="3">
        <v>0.4</v>
      </c>
      <c r="I174" s="3">
        <v>0.4</v>
      </c>
      <c r="J174" s="3">
        <v>0.3</v>
      </c>
      <c r="K174" s="3">
        <v>0.6</v>
      </c>
      <c r="L174" s="5">
        <f t="shared" si="13"/>
        <v>0.43</v>
      </c>
    </row>
    <row r="175" spans="1:12">
      <c r="A175">
        <v>600</v>
      </c>
      <c r="B175" s="3">
        <v>0.3</v>
      </c>
      <c r="C175" s="3">
        <v>0.4</v>
      </c>
      <c r="D175" s="3">
        <v>0.4</v>
      </c>
      <c r="E175" s="3">
        <v>0.3</v>
      </c>
      <c r="F175" s="3">
        <v>0.4</v>
      </c>
      <c r="G175" s="3">
        <v>0.4</v>
      </c>
      <c r="H175" s="3">
        <v>0.3</v>
      </c>
      <c r="I175" s="3">
        <v>0.5</v>
      </c>
      <c r="J175" s="3">
        <v>0.5</v>
      </c>
      <c r="K175" s="3">
        <v>0.5</v>
      </c>
      <c r="L175" s="5">
        <f t="shared" si="13"/>
        <v>0.4</v>
      </c>
    </row>
    <row r="177" spans="1:12">
      <c r="A177" s="1" t="s">
        <v>29</v>
      </c>
      <c r="B177" s="1" t="s">
        <v>43</v>
      </c>
      <c r="I177" s="3"/>
    </row>
    <row r="178" spans="1:12">
      <c r="A178">
        <v>420</v>
      </c>
      <c r="B178">
        <v>25</v>
      </c>
      <c r="C178">
        <v>26</v>
      </c>
      <c r="D178">
        <v>26</v>
      </c>
      <c r="E178">
        <v>31</v>
      </c>
      <c r="F178">
        <v>27</v>
      </c>
      <c r="G178">
        <v>30</v>
      </c>
      <c r="H178">
        <v>26</v>
      </c>
      <c r="I178">
        <v>24</v>
      </c>
      <c r="J178">
        <v>25</v>
      </c>
      <c r="K178">
        <v>27</v>
      </c>
      <c r="L178" s="4">
        <f t="shared" si="13"/>
        <v>26.7</v>
      </c>
    </row>
    <row r="179" spans="1:12">
      <c r="A179">
        <v>480</v>
      </c>
      <c r="B179">
        <v>27</v>
      </c>
      <c r="C179">
        <v>45</v>
      </c>
      <c r="D179">
        <v>28</v>
      </c>
      <c r="E179">
        <v>27</v>
      </c>
      <c r="F179">
        <v>27</v>
      </c>
      <c r="G179">
        <v>27</v>
      </c>
      <c r="H179">
        <v>27</v>
      </c>
      <c r="I179">
        <v>27</v>
      </c>
      <c r="J179">
        <v>35</v>
      </c>
      <c r="K179">
        <v>27</v>
      </c>
      <c r="L179" s="4">
        <f t="shared" si="13"/>
        <v>29.7</v>
      </c>
    </row>
    <row r="180" spans="1:12">
      <c r="A180">
        <v>540</v>
      </c>
      <c r="B180">
        <v>35</v>
      </c>
      <c r="C180">
        <v>30</v>
      </c>
      <c r="D180">
        <v>49</v>
      </c>
      <c r="E180">
        <v>29</v>
      </c>
      <c r="F180">
        <v>31</v>
      </c>
      <c r="G180">
        <v>30</v>
      </c>
      <c r="H180">
        <v>52</v>
      </c>
      <c r="I180">
        <v>52</v>
      </c>
      <c r="J180">
        <v>29</v>
      </c>
      <c r="L180" s="4">
        <f t="shared" si="13"/>
        <v>37.4444444444444</v>
      </c>
    </row>
    <row r="181" spans="1:12">
      <c r="A181">
        <v>600</v>
      </c>
      <c r="B181">
        <v>30</v>
      </c>
      <c r="C181">
        <v>32</v>
      </c>
      <c r="D181">
        <v>35</v>
      </c>
      <c r="E181">
        <v>30</v>
      </c>
      <c r="F181">
        <v>47</v>
      </c>
      <c r="G181">
        <v>31</v>
      </c>
      <c r="H181">
        <v>30</v>
      </c>
      <c r="I181">
        <v>39</v>
      </c>
      <c r="J181">
        <v>35</v>
      </c>
      <c r="K181">
        <v>30</v>
      </c>
      <c r="L181" s="4">
        <f t="shared" si="13"/>
        <v>33.9</v>
      </c>
    </row>
    <row r="182" spans="1:12">
      <c r="B182" s="3"/>
    </row>
    <row r="183" spans="1:12">
      <c r="B183" s="3"/>
    </row>
    <row r="184" spans="1:12">
      <c r="B184" s="3"/>
    </row>
    <row r="185" spans="1:12">
      <c r="B185" s="3"/>
    </row>
    <row r="186" spans="1:12">
      <c r="B186" s="3"/>
    </row>
    <row r="187" spans="1:12">
      <c r="B187" s="3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"/>
  <sheetViews>
    <sheetView workbookViewId="0">
      <selection activeCell="E19" sqref="E19"/>
    </sheetView>
  </sheetViews>
  <sheetFormatPr defaultColWidth="9.23076923076923" defaultRowHeight="16.8" outlineLevelCol="6"/>
  <cols>
    <col min="2" max="3" width="27.7211538461538" customWidth="1"/>
    <col min="4" max="4" width="29.3173076923077" customWidth="1"/>
    <col min="5" max="5" width="23.2307692307692" customWidth="1"/>
    <col min="6" max="6" width="22.5865384615385" customWidth="1"/>
    <col min="7" max="7" width="21.9519230769231" customWidth="1"/>
  </cols>
  <sheetData>
    <row r="1" spans="1:7">
      <c r="A1" s="1" t="s">
        <v>29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34</v>
      </c>
      <c r="G1" s="1" t="s">
        <v>35</v>
      </c>
    </row>
    <row r="2" spans="1:7">
      <c r="A2">
        <v>60</v>
      </c>
      <c r="B2" s="2">
        <v>0.6173</v>
      </c>
      <c r="C2" s="3">
        <v>0.2</v>
      </c>
      <c r="D2" s="4">
        <v>5</v>
      </c>
      <c r="E2" s="2">
        <v>0.52802</v>
      </c>
      <c r="F2" s="3">
        <v>0.2</v>
      </c>
      <c r="G2" s="6">
        <v>12.7</v>
      </c>
    </row>
    <row r="3" spans="1:7">
      <c r="A3">
        <v>120</v>
      </c>
      <c r="B3" s="2">
        <v>0.6163</v>
      </c>
      <c r="C3" s="3">
        <v>0.2</v>
      </c>
      <c r="D3" s="4">
        <v>16.4</v>
      </c>
      <c r="E3" s="2">
        <v>0.53321</v>
      </c>
      <c r="F3" s="3">
        <v>0.2</v>
      </c>
      <c r="G3" s="6">
        <v>29.2</v>
      </c>
    </row>
    <row r="4" spans="1:7">
      <c r="A4">
        <v>180</v>
      </c>
      <c r="B4" s="2">
        <v>0.618</v>
      </c>
      <c r="C4" s="3">
        <v>0.2</v>
      </c>
      <c r="D4" s="4">
        <v>27.9</v>
      </c>
      <c r="E4" s="2">
        <v>0.53087</v>
      </c>
      <c r="F4" s="3">
        <v>0.2</v>
      </c>
      <c r="G4" s="6">
        <v>43.7</v>
      </c>
    </row>
    <row r="5" spans="1:7">
      <c r="A5">
        <v>240</v>
      </c>
      <c r="B5" s="2">
        <v>0.64446</v>
      </c>
      <c r="C5" s="3">
        <v>0.2</v>
      </c>
      <c r="D5" s="4">
        <v>37.3</v>
      </c>
      <c r="E5" s="2">
        <v>0.53349</v>
      </c>
      <c r="F5" s="3">
        <v>0.2</v>
      </c>
      <c r="G5" s="6">
        <v>60.1</v>
      </c>
    </row>
    <row r="6" spans="1:7">
      <c r="A6">
        <v>300</v>
      </c>
      <c r="B6" s="2">
        <v>0.65801</v>
      </c>
      <c r="C6" s="3">
        <v>0.22</v>
      </c>
      <c r="D6" s="4">
        <v>44</v>
      </c>
      <c r="E6" s="2">
        <v>0.52402</v>
      </c>
      <c r="F6" s="3">
        <v>0.23</v>
      </c>
      <c r="G6" s="6">
        <v>81.5</v>
      </c>
    </row>
    <row r="7" spans="1:7">
      <c r="A7">
        <v>360</v>
      </c>
      <c r="B7" s="2">
        <v>0.6577</v>
      </c>
      <c r="C7" s="3">
        <v>0.4</v>
      </c>
      <c r="D7" s="4">
        <v>54.9</v>
      </c>
      <c r="E7" s="2">
        <v>0.54672</v>
      </c>
      <c r="F7" s="3">
        <v>0.22</v>
      </c>
      <c r="G7" s="6">
        <v>100.1</v>
      </c>
    </row>
    <row r="8" spans="1:7">
      <c r="A8">
        <v>420</v>
      </c>
      <c r="B8" s="2">
        <v>0.69846</v>
      </c>
      <c r="C8" s="3">
        <v>0.62</v>
      </c>
      <c r="D8" s="4">
        <v>66.3</v>
      </c>
      <c r="E8" s="2">
        <v>0.54405</v>
      </c>
      <c r="F8" s="3">
        <v>0.2</v>
      </c>
      <c r="G8" s="6">
        <v>135.6</v>
      </c>
    </row>
    <row r="9" spans="1:7">
      <c r="A9">
        <v>480</v>
      </c>
      <c r="B9" s="2">
        <v>0.6781</v>
      </c>
      <c r="C9" s="3">
        <v>0.8</v>
      </c>
      <c r="D9" s="4">
        <v>70</v>
      </c>
      <c r="E9" s="2">
        <v>0.53065</v>
      </c>
      <c r="F9" s="3">
        <v>0.2</v>
      </c>
      <c r="G9" s="6">
        <v>139.9</v>
      </c>
    </row>
    <row r="10" spans="1:7">
      <c r="A10">
        <v>540</v>
      </c>
      <c r="B10" s="2">
        <v>0.6781</v>
      </c>
      <c r="C10" s="3">
        <v>0.8</v>
      </c>
      <c r="D10" s="4">
        <v>70</v>
      </c>
      <c r="E10" s="2">
        <v>0.55938</v>
      </c>
      <c r="F10" s="3">
        <v>0.23</v>
      </c>
      <c r="G10" s="6">
        <v>136</v>
      </c>
    </row>
    <row r="11" spans="1:7">
      <c r="A11">
        <v>600</v>
      </c>
      <c r="B11" s="2">
        <v>0.67799</v>
      </c>
      <c r="C11" s="3">
        <v>0.8</v>
      </c>
      <c r="D11" s="4">
        <v>69.9</v>
      </c>
      <c r="E11" s="2">
        <v>0.52321</v>
      </c>
      <c r="F11" s="3">
        <v>0.2</v>
      </c>
      <c r="G11" s="6">
        <v>213</v>
      </c>
    </row>
    <row r="18" spans="2:2">
      <c r="B18" s="5">
        <f>(B11-E11)/E11</f>
        <v>0.295827679134573</v>
      </c>
    </row>
    <row r="19" spans="2:2">
      <c r="B19" s="7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tabSelected="1" workbookViewId="0">
      <selection activeCell="D25" sqref="D25"/>
    </sheetView>
  </sheetViews>
  <sheetFormatPr defaultColWidth="9.23076923076923" defaultRowHeight="16.8" outlineLevelCol="6"/>
  <cols>
    <col min="2" max="2" width="29.4807692307692" customWidth="1"/>
    <col min="3" max="3" width="27.2307692307692" customWidth="1"/>
    <col min="4" max="4" width="28.6826923076923" customWidth="1"/>
    <col min="5" max="5" width="25.9615384615385" customWidth="1"/>
    <col min="6" max="6" width="29.3269230769231" customWidth="1"/>
    <col min="7" max="7" width="29.1634615384615" customWidth="1"/>
  </cols>
  <sheetData>
    <row r="1" spans="1:7">
      <c r="A1" s="1" t="s">
        <v>29</v>
      </c>
      <c r="B1" s="1" t="s">
        <v>44</v>
      </c>
      <c r="C1" s="1" t="s">
        <v>45</v>
      </c>
      <c r="D1" s="1" t="s">
        <v>46</v>
      </c>
      <c r="E1" s="1" t="s">
        <v>48</v>
      </c>
      <c r="F1" s="1" t="s">
        <v>49</v>
      </c>
      <c r="G1" s="1" t="s">
        <v>50</v>
      </c>
    </row>
    <row r="2" spans="1:7">
      <c r="A2">
        <v>60</v>
      </c>
      <c r="B2" s="2">
        <v>0.6173</v>
      </c>
      <c r="C2" s="3">
        <v>0.2</v>
      </c>
      <c r="D2" s="4">
        <v>5</v>
      </c>
      <c r="E2" s="5">
        <v>0.53068</v>
      </c>
      <c r="F2" s="5">
        <v>0.2</v>
      </c>
      <c r="G2" s="4">
        <v>4</v>
      </c>
    </row>
    <row r="3" spans="1:7">
      <c r="A3">
        <v>120</v>
      </c>
      <c r="B3" s="2">
        <v>0.6163</v>
      </c>
      <c r="C3" s="3">
        <v>0.2</v>
      </c>
      <c r="D3" s="4">
        <v>16.4</v>
      </c>
      <c r="E3" s="5">
        <v>0.61699</v>
      </c>
      <c r="F3" s="5">
        <v>0.2</v>
      </c>
      <c r="G3" s="4">
        <v>8.2</v>
      </c>
    </row>
    <row r="4" spans="1:7">
      <c r="A4">
        <v>180</v>
      </c>
      <c r="B4" s="2">
        <v>0.618</v>
      </c>
      <c r="C4" s="3">
        <v>0.2</v>
      </c>
      <c r="D4" s="4">
        <v>27.9</v>
      </c>
      <c r="E4" s="5">
        <v>0.64813</v>
      </c>
      <c r="F4" s="5">
        <v>0.2</v>
      </c>
      <c r="G4" s="4">
        <v>12.9</v>
      </c>
    </row>
    <row r="5" spans="1:7">
      <c r="A5">
        <v>240</v>
      </c>
      <c r="B5" s="2">
        <v>0.64446</v>
      </c>
      <c r="C5" s="3">
        <v>0.2</v>
      </c>
      <c r="D5" s="4">
        <v>37.3</v>
      </c>
      <c r="E5" s="5">
        <v>0.6482</v>
      </c>
      <c r="F5" s="5">
        <v>0.2</v>
      </c>
      <c r="G5" s="4">
        <v>17</v>
      </c>
    </row>
    <row r="6" spans="1:7">
      <c r="A6">
        <v>300</v>
      </c>
      <c r="B6" s="2">
        <v>0.65801</v>
      </c>
      <c r="C6" s="3">
        <v>0.22</v>
      </c>
      <c r="D6" s="4">
        <v>44</v>
      </c>
      <c r="E6" s="5">
        <v>0.6482</v>
      </c>
      <c r="F6" s="5">
        <v>0.2</v>
      </c>
      <c r="G6" s="4">
        <v>19</v>
      </c>
    </row>
    <row r="7" spans="1:7">
      <c r="A7">
        <v>360</v>
      </c>
      <c r="B7" s="2">
        <v>0.6577</v>
      </c>
      <c r="C7" s="3">
        <v>0.4</v>
      </c>
      <c r="D7" s="4">
        <v>54.9</v>
      </c>
      <c r="E7" s="5">
        <v>0.6586</v>
      </c>
      <c r="F7" s="5">
        <v>0.3</v>
      </c>
      <c r="G7" s="4">
        <v>24</v>
      </c>
    </row>
    <row r="8" spans="1:7">
      <c r="A8">
        <v>420</v>
      </c>
      <c r="B8" s="2">
        <v>0.69846</v>
      </c>
      <c r="C8" s="3">
        <v>0.62</v>
      </c>
      <c r="D8" s="4">
        <v>66.3</v>
      </c>
      <c r="E8" s="5">
        <v>0.6586</v>
      </c>
      <c r="F8" s="5">
        <v>0.3</v>
      </c>
      <c r="G8" s="4">
        <v>24</v>
      </c>
    </row>
    <row r="9" spans="1:7">
      <c r="A9">
        <v>480</v>
      </c>
      <c r="B9" s="2">
        <v>0.6781</v>
      </c>
      <c r="C9" s="3">
        <v>0.8</v>
      </c>
      <c r="D9" s="4">
        <v>70</v>
      </c>
      <c r="E9" s="5">
        <v>0.6586</v>
      </c>
      <c r="F9" s="5">
        <v>0.3</v>
      </c>
      <c r="G9" s="4">
        <v>24</v>
      </c>
    </row>
    <row r="10" spans="1:7">
      <c r="A10">
        <v>540</v>
      </c>
      <c r="B10" s="2">
        <v>0.6781</v>
      </c>
      <c r="C10" s="3">
        <v>0.8</v>
      </c>
      <c r="D10" s="4">
        <v>70</v>
      </c>
      <c r="E10" s="5">
        <v>0.6586</v>
      </c>
      <c r="F10" s="5">
        <v>0.3</v>
      </c>
      <c r="G10" s="4">
        <v>24</v>
      </c>
    </row>
    <row r="11" spans="1:7">
      <c r="A11">
        <v>600</v>
      </c>
      <c r="B11" s="2">
        <v>0.67799</v>
      </c>
      <c r="C11" s="3">
        <v>0.8</v>
      </c>
      <c r="D11" s="4">
        <v>69.9</v>
      </c>
      <c r="E11" s="5">
        <v>0.6586</v>
      </c>
      <c r="F11" s="5">
        <v>0.3</v>
      </c>
      <c r="G11" s="4">
        <v>24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workbookViewId="0">
      <selection activeCell="D18" sqref="D18"/>
    </sheetView>
  </sheetViews>
  <sheetFormatPr defaultColWidth="9.23076923076923" defaultRowHeight="16.8" outlineLevelCol="6"/>
  <cols>
    <col min="2" max="2" width="32.2019230769231" customWidth="1"/>
    <col min="3" max="3" width="28.0480769230769" customWidth="1"/>
    <col min="4" max="4" width="29.9615384615385" customWidth="1"/>
    <col min="5" max="5" width="28.3653846153846" customWidth="1"/>
    <col min="6" max="6" width="26.1153846153846" customWidth="1"/>
    <col min="7" max="7" width="26.75" customWidth="1"/>
  </cols>
  <sheetData>
    <row r="1" spans="1:7">
      <c r="A1" s="1" t="s">
        <v>29</v>
      </c>
      <c r="B1" s="1" t="s">
        <v>44</v>
      </c>
      <c r="C1" s="1" t="s">
        <v>45</v>
      </c>
      <c r="D1" s="1" t="s">
        <v>46</v>
      </c>
      <c r="E1" s="1" t="s">
        <v>48</v>
      </c>
      <c r="F1" s="1" t="s">
        <v>49</v>
      </c>
      <c r="G1" s="1" t="s">
        <v>50</v>
      </c>
    </row>
    <row r="2" spans="1:7">
      <c r="A2">
        <v>60</v>
      </c>
      <c r="B2" s="2">
        <v>0.6173</v>
      </c>
      <c r="C2" s="3">
        <v>0.2</v>
      </c>
      <c r="D2" s="4">
        <v>5</v>
      </c>
      <c r="E2" s="5">
        <v>0.59</v>
      </c>
      <c r="F2" s="5">
        <v>0.2</v>
      </c>
      <c r="G2" s="4">
        <v>5</v>
      </c>
    </row>
    <row r="3" spans="1:7">
      <c r="A3">
        <v>120</v>
      </c>
      <c r="B3" s="2">
        <v>0.6163</v>
      </c>
      <c r="C3" s="3">
        <v>0.2</v>
      </c>
      <c r="D3" s="4">
        <v>16.4</v>
      </c>
      <c r="E3" s="5">
        <v>0.65</v>
      </c>
      <c r="F3" s="5">
        <v>0.2</v>
      </c>
      <c r="G3" s="4">
        <v>16</v>
      </c>
    </row>
    <row r="4" spans="1:7">
      <c r="A4">
        <v>180</v>
      </c>
      <c r="B4" s="2">
        <v>0.618</v>
      </c>
      <c r="C4" s="3">
        <v>0.2</v>
      </c>
      <c r="D4" s="4">
        <v>27.9</v>
      </c>
      <c r="E4" s="5">
        <v>0.648</v>
      </c>
      <c r="F4" s="5">
        <v>0.2</v>
      </c>
      <c r="G4" s="4">
        <v>22</v>
      </c>
    </row>
    <row r="5" spans="1:7">
      <c r="A5">
        <v>240</v>
      </c>
      <c r="B5" s="2">
        <v>0.64446</v>
      </c>
      <c r="C5" s="3">
        <v>0.2</v>
      </c>
      <c r="D5" s="4">
        <v>37.3</v>
      </c>
      <c r="E5" s="5">
        <v>0.65</v>
      </c>
      <c r="F5" s="5">
        <v>0.2</v>
      </c>
      <c r="G5" s="4">
        <v>42</v>
      </c>
    </row>
    <row r="6" spans="1:7">
      <c r="A6">
        <v>300</v>
      </c>
      <c r="B6" s="2">
        <v>0.65801</v>
      </c>
      <c r="C6" s="3">
        <v>0.22</v>
      </c>
      <c r="D6" s="4">
        <v>44</v>
      </c>
      <c r="E6" s="5">
        <v>0.66</v>
      </c>
      <c r="F6" s="5">
        <v>0.2</v>
      </c>
      <c r="G6" s="4">
        <v>50</v>
      </c>
    </row>
    <row r="7" spans="1:7">
      <c r="A7">
        <v>360</v>
      </c>
      <c r="B7" s="2">
        <v>0.6577</v>
      </c>
      <c r="C7" s="3">
        <v>0.4</v>
      </c>
      <c r="D7" s="4">
        <v>54.9</v>
      </c>
      <c r="E7" s="5">
        <v>0.658</v>
      </c>
      <c r="F7" s="5">
        <v>0.2</v>
      </c>
      <c r="G7" s="4">
        <v>58</v>
      </c>
    </row>
    <row r="8" spans="1:7">
      <c r="A8">
        <v>420</v>
      </c>
      <c r="B8" s="2">
        <v>0.69846</v>
      </c>
      <c r="C8" s="3">
        <v>0.62</v>
      </c>
      <c r="D8" s="4">
        <v>66.3</v>
      </c>
      <c r="E8" s="5">
        <v>0.656</v>
      </c>
      <c r="F8" s="5">
        <v>0.2</v>
      </c>
      <c r="G8" s="4">
        <v>64</v>
      </c>
    </row>
    <row r="9" spans="1:7">
      <c r="A9">
        <v>480</v>
      </c>
      <c r="B9" s="2">
        <v>0.6781</v>
      </c>
      <c r="C9" s="3">
        <v>0.8</v>
      </c>
      <c r="D9" s="4">
        <v>70</v>
      </c>
      <c r="E9" s="5">
        <v>0.696</v>
      </c>
      <c r="F9" s="5">
        <v>0.5</v>
      </c>
      <c r="G9" s="4">
        <v>75</v>
      </c>
    </row>
    <row r="10" spans="1:7">
      <c r="A10">
        <v>540</v>
      </c>
      <c r="B10" s="2">
        <v>0.6781</v>
      </c>
      <c r="C10" s="3">
        <v>0.8</v>
      </c>
      <c r="D10" s="4">
        <v>70</v>
      </c>
      <c r="E10" s="5">
        <v>0.68</v>
      </c>
      <c r="F10" s="5">
        <v>0.7</v>
      </c>
      <c r="G10" s="4">
        <v>84</v>
      </c>
    </row>
    <row r="11" spans="1:7">
      <c r="A11">
        <v>600</v>
      </c>
      <c r="B11" s="2">
        <v>0.67799</v>
      </c>
      <c r="C11" s="3">
        <v>0.8</v>
      </c>
      <c r="D11" s="4">
        <v>69.9</v>
      </c>
      <c r="E11" s="5">
        <v>0.69</v>
      </c>
      <c r="F11" s="5">
        <v>0.7</v>
      </c>
      <c r="G11" s="4">
        <v>86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AI Agent Generate</vt:lpstr>
      <vt:lpstr>Static Analysis (reproduction)</vt:lpstr>
      <vt:lpstr>automatic testing</vt:lpstr>
      <vt:lpstr>LMT vs RT</vt:lpstr>
      <vt:lpstr>LMT vs SAMT</vt:lpstr>
      <vt:lpstr>LMT vs SAMT2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edwincai</dc:creator>
  <cp:lastModifiedBy>Molly</cp:lastModifiedBy>
  <dcterms:created xsi:type="dcterms:W3CDTF">2026-03-14T07:22:00Z</dcterms:created>
  <dcterms:modified xsi:type="dcterms:W3CDTF">2026-04-08T10:22:01Z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9B43A882BF0179F52540C3691F8A27B5_43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1</vt:i4>
  </property>
</Properties>
</file>